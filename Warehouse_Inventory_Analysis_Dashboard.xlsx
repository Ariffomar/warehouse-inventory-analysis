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User\Desktop\portfolio kerja\"/>
    </mc:Choice>
  </mc:AlternateContent>
  <xr:revisionPtr revIDLastSave="0" documentId="8_{BDAEC4ED-F9C6-4986-A435-7BBE896ED91C}" xr6:coauthVersionLast="47" xr6:coauthVersionMax="47" xr10:uidLastSave="{00000000-0000-0000-0000-000000000000}"/>
  <bookViews>
    <workbookView xWindow="-120" yWindow="-120" windowWidth="29040" windowHeight="15720" activeTab="3" xr2:uid="{00000000-000D-0000-FFFF-FFFF00000000}"/>
  </bookViews>
  <sheets>
    <sheet name="Project_Brief" sheetId="2" r:id="rId1"/>
    <sheet name="Raw_Data" sheetId="1" r:id="rId2"/>
    <sheet name="Analysis" sheetId="4" r:id="rId3"/>
    <sheet name="Dashboard" sheetId="5" r:id="rId4"/>
  </sheets>
  <definedNames>
    <definedName name="Slicer_Category">#N/A</definedName>
    <definedName name="Slicer_Warehouse">#N/A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 i="5" l="1"/>
  <c r="G5" i="5"/>
  <c r="D5" i="5"/>
  <c r="A5" i="5"/>
</calcChain>
</file>

<file path=xl/sharedStrings.xml><?xml version="1.0" encoding="utf-8"?>
<sst xmlns="http://schemas.openxmlformats.org/spreadsheetml/2006/main" count="6049" uniqueCount="1092">
  <si>
    <t>Transaction_ID</t>
  </si>
  <si>
    <t>Date</t>
  </si>
  <si>
    <t>Product_ID</t>
  </si>
  <si>
    <t>Product_Name</t>
  </si>
  <si>
    <t>Category</t>
  </si>
  <si>
    <t>Supplier</t>
  </si>
  <si>
    <t>Opening_Stock</t>
  </si>
  <si>
    <t>Quantity_Received</t>
  </si>
  <si>
    <t>Quantity_Issued</t>
  </si>
  <si>
    <t>Closing_Stock</t>
  </si>
  <si>
    <t>Unit_Cost_RM</t>
  </si>
  <si>
    <t>Inventory_Value_RM</t>
  </si>
  <si>
    <t>Warehouse</t>
  </si>
  <si>
    <t>TXN0001</t>
  </si>
  <si>
    <t>P006</t>
  </si>
  <si>
    <t>Cable Tie</t>
  </si>
  <si>
    <t>Electrical</t>
  </si>
  <si>
    <t>Mega Electric</t>
  </si>
  <si>
    <t>Kedah Warehouse</t>
  </si>
  <si>
    <t>TXN0002</t>
  </si>
  <si>
    <t>P004</t>
  </si>
  <si>
    <t>Hydraulic Hose</t>
  </si>
  <si>
    <t>Mechanical</t>
  </si>
  <si>
    <t>Maju Industrial</t>
  </si>
  <si>
    <t>Selangor Warehouse</t>
  </si>
  <si>
    <t>TXN0003</t>
  </si>
  <si>
    <t>P009</t>
  </si>
  <si>
    <t>Pallet Wrap</t>
  </si>
  <si>
    <t>Packaging</t>
  </si>
  <si>
    <t>Johor Packaging</t>
  </si>
  <si>
    <t>TXN0004</t>
  </si>
  <si>
    <t>P003</t>
  </si>
  <si>
    <t>Packaging Box</t>
  </si>
  <si>
    <t>PackRight Trading</t>
  </si>
  <si>
    <t>TXN0005</t>
  </si>
  <si>
    <t>P019</t>
  </si>
  <si>
    <t>Storage Bin</t>
  </si>
  <si>
    <t>Material Handling</t>
  </si>
  <si>
    <t>LogiEquip</t>
  </si>
  <si>
    <t>TXN0006</t>
  </si>
  <si>
    <t>TXN0007</t>
  </si>
  <si>
    <t>P012</t>
  </si>
  <si>
    <t>Safety Vest</t>
  </si>
  <si>
    <t>Safety</t>
  </si>
  <si>
    <t>SafePro Supplies</t>
  </si>
  <si>
    <t>TXN0008</t>
  </si>
  <si>
    <t>TXN0009</t>
  </si>
  <si>
    <t>P018</t>
  </si>
  <si>
    <t>Safety Shoes</t>
  </si>
  <si>
    <t>Johor Warehouse</t>
  </si>
  <si>
    <t>TXN0010</t>
  </si>
  <si>
    <t>P008</t>
  </si>
  <si>
    <t>Stretch Film</t>
  </si>
  <si>
    <t>TXN0011</t>
  </si>
  <si>
    <t>TXN0012</t>
  </si>
  <si>
    <t>P015</t>
  </si>
  <si>
    <t>Barcode Label Roll</t>
  </si>
  <si>
    <t>TXN0013</t>
  </si>
  <si>
    <t>TXN0014</t>
  </si>
  <si>
    <t>P017</t>
  </si>
  <si>
    <t>Electrical Relay</t>
  </si>
  <si>
    <t>TXN0015</t>
  </si>
  <si>
    <t>P014</t>
  </si>
  <si>
    <t>Hand Pallet Truck Wheel</t>
  </si>
  <si>
    <t>TXN0016</t>
  </si>
  <si>
    <t>TXN0017</t>
  </si>
  <si>
    <t>P011</t>
  </si>
  <si>
    <t>Industrial Sensor</t>
  </si>
  <si>
    <t>TechParts Malaysia</t>
  </si>
  <si>
    <t>TXN0018</t>
  </si>
  <si>
    <t>TXN0019</t>
  </si>
  <si>
    <t>P010</t>
  </si>
  <si>
    <t>Machine Belt</t>
  </si>
  <si>
    <t>TXN0020</t>
  </si>
  <si>
    <t>TXN0021</t>
  </si>
  <si>
    <t>TXN0022</t>
  </si>
  <si>
    <t>TXN0023</t>
  </si>
  <si>
    <t>P005</t>
  </si>
  <si>
    <t>LED Work Light</t>
  </si>
  <si>
    <t>TXN0024</t>
  </si>
  <si>
    <t>P020</t>
  </si>
  <si>
    <t>Packing Tape</t>
  </si>
  <si>
    <t>TXN0025</t>
  </si>
  <si>
    <t>TXN0026</t>
  </si>
  <si>
    <t>TXN0027</t>
  </si>
  <si>
    <t>TXN0028</t>
  </si>
  <si>
    <t>P002</t>
  </si>
  <si>
    <t>Safety Gloves</t>
  </si>
  <si>
    <t>TXN0029</t>
  </si>
  <si>
    <t>TXN0030</t>
  </si>
  <si>
    <t>TXN0031</t>
  </si>
  <si>
    <t>TXN0032</t>
  </si>
  <si>
    <t>TXN0033</t>
  </si>
  <si>
    <t>TXN0034</t>
  </si>
  <si>
    <t>TXN0035</t>
  </si>
  <si>
    <t>TXN0036</t>
  </si>
  <si>
    <t>TXN0037</t>
  </si>
  <si>
    <t>TXN0038</t>
  </si>
  <si>
    <t>TXN0039</t>
  </si>
  <si>
    <t>P007</t>
  </si>
  <si>
    <t>Safety Helmet</t>
  </si>
  <si>
    <t>TXN0040</t>
  </si>
  <si>
    <t>TXN0041</t>
  </si>
  <si>
    <t>TXN0042</t>
  </si>
  <si>
    <t>TXN0043</t>
  </si>
  <si>
    <t>TXN0044</t>
  </si>
  <si>
    <t>TXN0045</t>
  </si>
  <si>
    <t>TXN0046</t>
  </si>
  <si>
    <t>TXN0047</t>
  </si>
  <si>
    <t>TXN0048</t>
  </si>
  <si>
    <t>TXN0049</t>
  </si>
  <si>
    <t>TXN0050</t>
  </si>
  <si>
    <t>TXN0051</t>
  </si>
  <si>
    <t>TXN0052</t>
  </si>
  <si>
    <t>TXN0053</t>
  </si>
  <si>
    <t>TXN0054</t>
  </si>
  <si>
    <t>P001</t>
  </si>
  <si>
    <t>Industrial Bearing</t>
  </si>
  <si>
    <t>TXN0055</t>
  </si>
  <si>
    <t>TXN0056</t>
  </si>
  <si>
    <t>TXN0057</t>
  </si>
  <si>
    <t>TXN0058</t>
  </si>
  <si>
    <t>TXN0059</t>
  </si>
  <si>
    <t>TXN0060</t>
  </si>
  <si>
    <t>P016</t>
  </si>
  <si>
    <t>Motor Coupling</t>
  </si>
  <si>
    <t>TXN0061</t>
  </si>
  <si>
    <t>TXN0062</t>
  </si>
  <si>
    <t>TXN0063</t>
  </si>
  <si>
    <t>TXN0064</t>
  </si>
  <si>
    <t>TXN0065</t>
  </si>
  <si>
    <t>TXN0066</t>
  </si>
  <si>
    <t>TXN0067</t>
  </si>
  <si>
    <t>TXN0068</t>
  </si>
  <si>
    <t>TXN0069</t>
  </si>
  <si>
    <t>TXN0070</t>
  </si>
  <si>
    <t>P013</t>
  </si>
  <si>
    <t>Plastic Pallet</t>
  </si>
  <si>
    <t>TXN0071</t>
  </si>
  <si>
    <t>TXN0072</t>
  </si>
  <si>
    <t>TXN0073</t>
  </si>
  <si>
    <t>TXN0074</t>
  </si>
  <si>
    <t>TXN0075</t>
  </si>
  <si>
    <t>TXN0076</t>
  </si>
  <si>
    <t>TXN0077</t>
  </si>
  <si>
    <t>TXN0078</t>
  </si>
  <si>
    <t>TXN0079</t>
  </si>
  <si>
    <t>TXN0080</t>
  </si>
  <si>
    <t>TXN0081</t>
  </si>
  <si>
    <t>TXN0082</t>
  </si>
  <si>
    <t>TXN0083</t>
  </si>
  <si>
    <t>TXN0084</t>
  </si>
  <si>
    <t>TXN0085</t>
  </si>
  <si>
    <t>TXN0086</t>
  </si>
  <si>
    <t>TXN0087</t>
  </si>
  <si>
    <t>TXN0088</t>
  </si>
  <si>
    <t>TXN0089</t>
  </si>
  <si>
    <t>TXN0090</t>
  </si>
  <si>
    <t>TXN0091</t>
  </si>
  <si>
    <t>TXN0092</t>
  </si>
  <si>
    <t>TXN0093</t>
  </si>
  <si>
    <t>TXN0094</t>
  </si>
  <si>
    <t>TXN0095</t>
  </si>
  <si>
    <t>TXN0096</t>
  </si>
  <si>
    <t>TXN0097</t>
  </si>
  <si>
    <t>TXN0098</t>
  </si>
  <si>
    <t>TXN0099</t>
  </si>
  <si>
    <t>TXN0100</t>
  </si>
  <si>
    <t>TXN0101</t>
  </si>
  <si>
    <t>TXN0102</t>
  </si>
  <si>
    <t>TXN0103</t>
  </si>
  <si>
    <t>TXN0104</t>
  </si>
  <si>
    <t>TXN0105</t>
  </si>
  <si>
    <t>TXN0106</t>
  </si>
  <si>
    <t>TXN0107</t>
  </si>
  <si>
    <t>TXN0108</t>
  </si>
  <si>
    <t>TXN0109</t>
  </si>
  <si>
    <t>TXN0110</t>
  </si>
  <si>
    <t>TXN0111</t>
  </si>
  <si>
    <t>TXN0112</t>
  </si>
  <si>
    <t>TXN0113</t>
  </si>
  <si>
    <t>TXN0114</t>
  </si>
  <si>
    <t>TXN0115</t>
  </si>
  <si>
    <t>TXN0116</t>
  </si>
  <si>
    <t>packaging</t>
  </si>
  <si>
    <t>TXN0117</t>
  </si>
  <si>
    <t>TXN0118</t>
  </si>
  <si>
    <t>TXN0119</t>
  </si>
  <si>
    <t>TXN0120</t>
  </si>
  <si>
    <t>TXN0121</t>
  </si>
  <si>
    <t>TXN0122</t>
  </si>
  <si>
    <t>TXN0123</t>
  </si>
  <si>
    <t>TXN0124</t>
  </si>
  <si>
    <t>TXN0125</t>
  </si>
  <si>
    <t>TXN0126</t>
  </si>
  <si>
    <t>TXN0127</t>
  </si>
  <si>
    <t>TXN0128</t>
  </si>
  <si>
    <t>TXN0129</t>
  </si>
  <si>
    <t>TXN0130</t>
  </si>
  <si>
    <t>TXN0131</t>
  </si>
  <si>
    <t>TXN0132</t>
  </si>
  <si>
    <t>TXN0133</t>
  </si>
  <si>
    <t>TXN0134</t>
  </si>
  <si>
    <t>TXN0135</t>
  </si>
  <si>
    <t>TXN0136</t>
  </si>
  <si>
    <t>TXN0137</t>
  </si>
  <si>
    <t>TXN0138</t>
  </si>
  <si>
    <t>TXN0139</t>
  </si>
  <si>
    <t>TXN0140</t>
  </si>
  <si>
    <t>TXN0141</t>
  </si>
  <si>
    <t>TXN0142</t>
  </si>
  <si>
    <t>TXN0143</t>
  </si>
  <si>
    <t>TXN0144</t>
  </si>
  <si>
    <t>TXN0145</t>
  </si>
  <si>
    <t>TXN0146</t>
  </si>
  <si>
    <t>TXN0147</t>
  </si>
  <si>
    <t>TXN0148</t>
  </si>
  <si>
    <t>TXN0149</t>
  </si>
  <si>
    <t>TXN0150</t>
  </si>
  <si>
    <t>TXN0151</t>
  </si>
  <si>
    <t>TXN0152</t>
  </si>
  <si>
    <t>TXN0153</t>
  </si>
  <si>
    <t>TXN0154</t>
  </si>
  <si>
    <t>TXN0155</t>
  </si>
  <si>
    <t>TXN0156</t>
  </si>
  <si>
    <t>TXN0157</t>
  </si>
  <si>
    <t>TXN0158</t>
  </si>
  <si>
    <t>TXN0159</t>
  </si>
  <si>
    <t>TXN0160</t>
  </si>
  <si>
    <t>TXN0161</t>
  </si>
  <si>
    <t>TXN0162</t>
  </si>
  <si>
    <t>TXN0163</t>
  </si>
  <si>
    <t>TXN0164</t>
  </si>
  <si>
    <t>TXN0165</t>
  </si>
  <si>
    <t>TXN0166</t>
  </si>
  <si>
    <t>TXN0167</t>
  </si>
  <si>
    <t>TXN0168</t>
  </si>
  <si>
    <t>TXN0169</t>
  </si>
  <si>
    <t>TXN0170</t>
  </si>
  <si>
    <t>TXN0171</t>
  </si>
  <si>
    <t>TXN0172</t>
  </si>
  <si>
    <t>TXN0173</t>
  </si>
  <si>
    <t>TXN0174</t>
  </si>
  <si>
    <t>TXN0175</t>
  </si>
  <si>
    <t>TXN0176</t>
  </si>
  <si>
    <t>TXN0177</t>
  </si>
  <si>
    <t>TXN0178</t>
  </si>
  <si>
    <t>TXN0179</t>
  </si>
  <si>
    <t>TXN0180</t>
  </si>
  <si>
    <t>TXN0181</t>
  </si>
  <si>
    <t>TXN0182</t>
  </si>
  <si>
    <t>TXN0183</t>
  </si>
  <si>
    <t>TXN0184</t>
  </si>
  <si>
    <t>TXN0185</t>
  </si>
  <si>
    <t>TXN0186</t>
  </si>
  <si>
    <t>TXN0187</t>
  </si>
  <si>
    <t>TXN0188</t>
  </si>
  <si>
    <t>TXN0189</t>
  </si>
  <si>
    <t>TXN0190</t>
  </si>
  <si>
    <t>TXN0191</t>
  </si>
  <si>
    <t>TXN0192</t>
  </si>
  <si>
    <t>TXN0193</t>
  </si>
  <si>
    <t>TXN0194</t>
  </si>
  <si>
    <t>TXN0195</t>
  </si>
  <si>
    <t>TXN0196</t>
  </si>
  <si>
    <t>TXN0197</t>
  </si>
  <si>
    <t>TXN0198</t>
  </si>
  <si>
    <t>TXN0199</t>
  </si>
  <si>
    <t>TXN0200</t>
  </si>
  <si>
    <t>TXN0201</t>
  </si>
  <si>
    <t>TXN0202</t>
  </si>
  <si>
    <t>TXN0203</t>
  </si>
  <si>
    <t>TXN0204</t>
  </si>
  <si>
    <t>TXN0205</t>
  </si>
  <si>
    <t>TXN0206</t>
  </si>
  <si>
    <t>TXN0207</t>
  </si>
  <si>
    <t>TXN0208</t>
  </si>
  <si>
    <t>TXN0209</t>
  </si>
  <si>
    <t>TXN0210</t>
  </si>
  <si>
    <t>TXN0211</t>
  </si>
  <si>
    <t>TXN0212</t>
  </si>
  <si>
    <t>TXN0213</t>
  </si>
  <si>
    <t>TXN0214</t>
  </si>
  <si>
    <t>TXN0215</t>
  </si>
  <si>
    <t>TXN0216</t>
  </si>
  <si>
    <t>TXN0217</t>
  </si>
  <si>
    <t>TXN0218</t>
  </si>
  <si>
    <t>TXN0219</t>
  </si>
  <si>
    <t>TXN0220</t>
  </si>
  <si>
    <t>TXN0221</t>
  </si>
  <si>
    <t>TXN0222</t>
  </si>
  <si>
    <t>TXN0223</t>
  </si>
  <si>
    <t>TXN0224</t>
  </si>
  <si>
    <t>TXN0225</t>
  </si>
  <si>
    <t>TXN0226</t>
  </si>
  <si>
    <t>TXN0227</t>
  </si>
  <si>
    <t>TXN0228</t>
  </si>
  <si>
    <t>TXN0229</t>
  </si>
  <si>
    <t>TXN0230</t>
  </si>
  <si>
    <t>TXN0231</t>
  </si>
  <si>
    <t>TXN0232</t>
  </si>
  <si>
    <t>TXN0233</t>
  </si>
  <si>
    <t>TXN0234</t>
  </si>
  <si>
    <t>TXN0235</t>
  </si>
  <si>
    <t>TXN0236</t>
  </si>
  <si>
    <t>TXN0237</t>
  </si>
  <si>
    <t>TXN0238</t>
  </si>
  <si>
    <t>TXN0239</t>
  </si>
  <si>
    <t>TXN0240</t>
  </si>
  <si>
    <t>TXN0241</t>
  </si>
  <si>
    <t>TXN0242</t>
  </si>
  <si>
    <t>TXN0243</t>
  </si>
  <si>
    <t>TXN0244</t>
  </si>
  <si>
    <t>TXN0245</t>
  </si>
  <si>
    <t>TXN0246</t>
  </si>
  <si>
    <t>TXN0247</t>
  </si>
  <si>
    <t>TXN0248</t>
  </si>
  <si>
    <t>TXN0249</t>
  </si>
  <si>
    <t>TXN0250</t>
  </si>
  <si>
    <t>TXN0251</t>
  </si>
  <si>
    <t>TXN0252</t>
  </si>
  <si>
    <t>TXN0253</t>
  </si>
  <si>
    <t>TXN0254</t>
  </si>
  <si>
    <t>TXN0255</t>
  </si>
  <si>
    <t>TXN0256</t>
  </si>
  <si>
    <t>TXN0257</t>
  </si>
  <si>
    <t>TXN0258</t>
  </si>
  <si>
    <t>TXN0259</t>
  </si>
  <si>
    <t>TXN0260</t>
  </si>
  <si>
    <t>TXN0261</t>
  </si>
  <si>
    <t>TXN0262</t>
  </si>
  <si>
    <t>TXN0263</t>
  </si>
  <si>
    <t>TXN0264</t>
  </si>
  <si>
    <t>TXN0265</t>
  </si>
  <si>
    <t>TXN0266</t>
  </si>
  <si>
    <t>TXN0267</t>
  </si>
  <si>
    <t>TXN0268</t>
  </si>
  <si>
    <t>TXN0269</t>
  </si>
  <si>
    <t>TXN0270</t>
  </si>
  <si>
    <t>TXN0271</t>
  </si>
  <si>
    <t>TXN0272</t>
  </si>
  <si>
    <t>TXN0273</t>
  </si>
  <si>
    <t>TXN0274</t>
  </si>
  <si>
    <t>TXN0275</t>
  </si>
  <si>
    <t>TXN0276</t>
  </si>
  <si>
    <t>TXN0277</t>
  </si>
  <si>
    <t>TXN0278</t>
  </si>
  <si>
    <t>TXN0279</t>
  </si>
  <si>
    <t>TXN0280</t>
  </si>
  <si>
    <t>TXN0281</t>
  </si>
  <si>
    <t>TXN0282</t>
  </si>
  <si>
    <t>TXN0283</t>
  </si>
  <si>
    <t>TXN0284</t>
  </si>
  <si>
    <t>TXN0285</t>
  </si>
  <si>
    <t>TXN0286</t>
  </si>
  <si>
    <t>TXN0287</t>
  </si>
  <si>
    <t>TXN0288</t>
  </si>
  <si>
    <t>TXN0289</t>
  </si>
  <si>
    <t>TXN0290</t>
  </si>
  <si>
    <t>TXN0291</t>
  </si>
  <si>
    <t>TXN0292</t>
  </si>
  <si>
    <t>TXN0293</t>
  </si>
  <si>
    <t>TXN0294</t>
  </si>
  <si>
    <t>TXN0295</t>
  </si>
  <si>
    <t>TXN0296</t>
  </si>
  <si>
    <t>TXN0297</t>
  </si>
  <si>
    <t>TXN0298</t>
  </si>
  <si>
    <t>TXN0299</t>
  </si>
  <si>
    <t>TXN0300</t>
  </si>
  <si>
    <t>TXN0301</t>
  </si>
  <si>
    <t>TXN0302</t>
  </si>
  <si>
    <t>TXN0303</t>
  </si>
  <si>
    <t>TXN0304</t>
  </si>
  <si>
    <t>TXN0305</t>
  </si>
  <si>
    <t>TXN0306</t>
  </si>
  <si>
    <t>TXN0307</t>
  </si>
  <si>
    <t>TXN0308</t>
  </si>
  <si>
    <t>TXN0309</t>
  </si>
  <si>
    <t>TXN0310</t>
  </si>
  <si>
    <t>TXN0311</t>
  </si>
  <si>
    <t>TXN0312</t>
  </si>
  <si>
    <t>TXN0313</t>
  </si>
  <si>
    <t>TXN0314</t>
  </si>
  <si>
    <t>TXN0315</t>
  </si>
  <si>
    <t>TXN0316</t>
  </si>
  <si>
    <t>TXN0317</t>
  </si>
  <si>
    <t>TXN0318</t>
  </si>
  <si>
    <t>TXN0319</t>
  </si>
  <si>
    <t>TXN0320</t>
  </si>
  <si>
    <t>TXN0321</t>
  </si>
  <si>
    <t>Johor warehouse</t>
  </si>
  <si>
    <t>TXN0322</t>
  </si>
  <si>
    <t>TXN0323</t>
  </si>
  <si>
    <t>TXN0324</t>
  </si>
  <si>
    <t>TXN0325</t>
  </si>
  <si>
    <t>TXN0326</t>
  </si>
  <si>
    <t>TXN0327</t>
  </si>
  <si>
    <t>TXN0328</t>
  </si>
  <si>
    <t>TXN0329</t>
  </si>
  <si>
    <t>TXN0330</t>
  </si>
  <si>
    <t>TXN0331</t>
  </si>
  <si>
    <t>TXN0332</t>
  </si>
  <si>
    <t>TXN0333</t>
  </si>
  <si>
    <t>TXN0334</t>
  </si>
  <si>
    <t>TXN0335</t>
  </si>
  <si>
    <t>TXN0336</t>
  </si>
  <si>
    <t>TXN0337</t>
  </si>
  <si>
    <t>TXN0338</t>
  </si>
  <si>
    <t>TXN0339</t>
  </si>
  <si>
    <t>TXN0340</t>
  </si>
  <si>
    <t>TXN0341</t>
  </si>
  <si>
    <t>TXN0342</t>
  </si>
  <si>
    <t>TXN0343</t>
  </si>
  <si>
    <t>TXN0344</t>
  </si>
  <si>
    <t>TXN0345</t>
  </si>
  <si>
    <t>TXN0346</t>
  </si>
  <si>
    <t>TXN0347</t>
  </si>
  <si>
    <t>TXN0348</t>
  </si>
  <si>
    <t>TXN0349</t>
  </si>
  <si>
    <t>TXN0350</t>
  </si>
  <si>
    <t>TXN0351</t>
  </si>
  <si>
    <t>TXN0352</t>
  </si>
  <si>
    <t>TXN0353</t>
  </si>
  <si>
    <t>TXN0354</t>
  </si>
  <si>
    <t>TXN0355</t>
  </si>
  <si>
    <t>TXN0356</t>
  </si>
  <si>
    <t>TXN0357</t>
  </si>
  <si>
    <t>TXN0358</t>
  </si>
  <si>
    <t>TXN0359</t>
  </si>
  <si>
    <t>TXN0360</t>
  </si>
  <si>
    <t>TXN0361</t>
  </si>
  <si>
    <t>TXN0362</t>
  </si>
  <si>
    <t>TXN0363</t>
  </si>
  <si>
    <t>TXN0364</t>
  </si>
  <si>
    <t>TXN0365</t>
  </si>
  <si>
    <t>TXN0366</t>
  </si>
  <si>
    <t>TXN0367</t>
  </si>
  <si>
    <t>TXN0368</t>
  </si>
  <si>
    <t>TXN0369</t>
  </si>
  <si>
    <t>TXN0370</t>
  </si>
  <si>
    <t>TXN0371</t>
  </si>
  <si>
    <t>TXN0372</t>
  </si>
  <si>
    <t>TXN0373</t>
  </si>
  <si>
    <t>TXN0374</t>
  </si>
  <si>
    <t>TXN0375</t>
  </si>
  <si>
    <t>TXN0376</t>
  </si>
  <si>
    <t>TXN0377</t>
  </si>
  <si>
    <t>TXN0378</t>
  </si>
  <si>
    <t>TXN0379</t>
  </si>
  <si>
    <t>TXN0380</t>
  </si>
  <si>
    <t>TXN0381</t>
  </si>
  <si>
    <t>TXN0382</t>
  </si>
  <si>
    <t>TXN0383</t>
  </si>
  <si>
    <t>TXN0384</t>
  </si>
  <si>
    <t>TXN0385</t>
  </si>
  <si>
    <t>TXN0386</t>
  </si>
  <si>
    <t>TXN0387</t>
  </si>
  <si>
    <t>TXN0388</t>
  </si>
  <si>
    <t>TXN0389</t>
  </si>
  <si>
    <t>TXN0390</t>
  </si>
  <si>
    <t>TXN0391</t>
  </si>
  <si>
    <t>TXN0392</t>
  </si>
  <si>
    <t>TXN0393</t>
  </si>
  <si>
    <t>TXN0394</t>
  </si>
  <si>
    <t>TXN0395</t>
  </si>
  <si>
    <t>TXN0396</t>
  </si>
  <si>
    <t>TXN0397</t>
  </si>
  <si>
    <t>TXN0398</t>
  </si>
  <si>
    <t>TXN0399</t>
  </si>
  <si>
    <t>TXN0400</t>
  </si>
  <si>
    <t>TXN0401</t>
  </si>
  <si>
    <t>TXN0402</t>
  </si>
  <si>
    <t>TXN0403</t>
  </si>
  <si>
    <t>TXN0404</t>
  </si>
  <si>
    <t>TXN0405</t>
  </si>
  <si>
    <t>TXN0406</t>
  </si>
  <si>
    <t>TXN0407</t>
  </si>
  <si>
    <t>TXN0408</t>
  </si>
  <si>
    <t>TXN0409</t>
  </si>
  <si>
    <t>TXN0410</t>
  </si>
  <si>
    <t>TXN0411</t>
  </si>
  <si>
    <t>TXN0412</t>
  </si>
  <si>
    <t>TXN0413</t>
  </si>
  <si>
    <t>TXN0414</t>
  </si>
  <si>
    <t>TXN0415</t>
  </si>
  <si>
    <t>TXN0416</t>
  </si>
  <si>
    <t>TXN0417</t>
  </si>
  <si>
    <t>TXN0418</t>
  </si>
  <si>
    <t>TXN0419</t>
  </si>
  <si>
    <t>TXN0420</t>
  </si>
  <si>
    <t>TXN0421</t>
  </si>
  <si>
    <t>TXN0422</t>
  </si>
  <si>
    <t>TXN0423</t>
  </si>
  <si>
    <t>TXN0424</t>
  </si>
  <si>
    <t>TXN0425</t>
  </si>
  <si>
    <t>TXN0426</t>
  </si>
  <si>
    <t>TXN0427</t>
  </si>
  <si>
    <t>TXN0428</t>
  </si>
  <si>
    <t>TXN0429</t>
  </si>
  <si>
    <t>TXN0430</t>
  </si>
  <si>
    <t>TXN0431</t>
  </si>
  <si>
    <t>TXN0432</t>
  </si>
  <si>
    <t>TXN0433</t>
  </si>
  <si>
    <t>TXN0434</t>
  </si>
  <si>
    <t>TXN0435</t>
  </si>
  <si>
    <t>TXN0436</t>
  </si>
  <si>
    <t>TXN0437</t>
  </si>
  <si>
    <t>TXN0438</t>
  </si>
  <si>
    <t>TXN0439</t>
  </si>
  <si>
    <t>TXN0440</t>
  </si>
  <si>
    <t>TXN0441</t>
  </si>
  <si>
    <t>TXN0442</t>
  </si>
  <si>
    <t>TXN0443</t>
  </si>
  <si>
    <t>TXN0444</t>
  </si>
  <si>
    <t>TXN0445</t>
  </si>
  <si>
    <t>TXN0446</t>
  </si>
  <si>
    <t>TXN0447</t>
  </si>
  <si>
    <t>TXN0448</t>
  </si>
  <si>
    <t>TXN0449</t>
  </si>
  <si>
    <t>TXN0450</t>
  </si>
  <si>
    <t>TXN0451</t>
  </si>
  <si>
    <t>TXN0452</t>
  </si>
  <si>
    <t>TXN0453</t>
  </si>
  <si>
    <t>TXN0454</t>
  </si>
  <si>
    <t>TXN0455</t>
  </si>
  <si>
    <t>TXN0456</t>
  </si>
  <si>
    <t>TXN0457</t>
  </si>
  <si>
    <t>TXN0458</t>
  </si>
  <si>
    <t>TXN0459</t>
  </si>
  <si>
    <t>TXN0460</t>
  </si>
  <si>
    <t>TXN0461</t>
  </si>
  <si>
    <t>TXN0462</t>
  </si>
  <si>
    <t>TXN0463</t>
  </si>
  <si>
    <t>TXN0464</t>
  </si>
  <si>
    <t>TXN0465</t>
  </si>
  <si>
    <t>TXN0466</t>
  </si>
  <si>
    <t>TXN0467</t>
  </si>
  <si>
    <t>TXN0468</t>
  </si>
  <si>
    <t>TXN0469</t>
  </si>
  <si>
    <t>TXN0470</t>
  </si>
  <si>
    <t>TXN0471</t>
  </si>
  <si>
    <t>TXN0472</t>
  </si>
  <si>
    <t>TXN0473</t>
  </si>
  <si>
    <t>TXN0474</t>
  </si>
  <si>
    <t>TXN0475</t>
  </si>
  <si>
    <t>TXN0476</t>
  </si>
  <si>
    <t>TXN0477</t>
  </si>
  <si>
    <t>TXN0478</t>
  </si>
  <si>
    <t>TXN0479</t>
  </si>
  <si>
    <t>TXN0480</t>
  </si>
  <si>
    <t>TXN0481</t>
  </si>
  <si>
    <t>TXN0482</t>
  </si>
  <si>
    <t>TXN0483</t>
  </si>
  <si>
    <t>TXN0484</t>
  </si>
  <si>
    <t>TXN0485</t>
  </si>
  <si>
    <t>TXN0486</t>
  </si>
  <si>
    <t>TXN0487</t>
  </si>
  <si>
    <t>TXN0488</t>
  </si>
  <si>
    <t>TXN0489</t>
  </si>
  <si>
    <t>TXN0490</t>
  </si>
  <si>
    <t>TXN0491</t>
  </si>
  <si>
    <t>TXN0492</t>
  </si>
  <si>
    <t>TXN0493</t>
  </si>
  <si>
    <t>TXN0494</t>
  </si>
  <si>
    <t>TXN0495</t>
  </si>
  <si>
    <t>TXN0496</t>
  </si>
  <si>
    <t>TXN0497</t>
  </si>
  <si>
    <t>TXN0498</t>
  </si>
  <si>
    <t>TXN0499</t>
  </si>
  <si>
    <t>TXN0500</t>
  </si>
  <si>
    <t>TXN0501</t>
  </si>
  <si>
    <t>TXN0502</t>
  </si>
  <si>
    <t>TXN0503</t>
  </si>
  <si>
    <t>TXN0504</t>
  </si>
  <si>
    <t>TXN0505</t>
  </si>
  <si>
    <t>TXN0506</t>
  </si>
  <si>
    <t>TXN0507</t>
  </si>
  <si>
    <t>TXN0508</t>
  </si>
  <si>
    <t>TXN0509</t>
  </si>
  <si>
    <t>TXN0510</t>
  </si>
  <si>
    <t>TXN0511</t>
  </si>
  <si>
    <t>TXN0512</t>
  </si>
  <si>
    <t>TXN0513</t>
  </si>
  <si>
    <t>electrical</t>
  </si>
  <si>
    <t>TXN0514</t>
  </si>
  <si>
    <t>TXN0515</t>
  </si>
  <si>
    <t>TXN0516</t>
  </si>
  <si>
    <t>TXN0517</t>
  </si>
  <si>
    <t>TXN0518</t>
  </si>
  <si>
    <t>TXN0519</t>
  </si>
  <si>
    <t>TXN0520</t>
  </si>
  <si>
    <t>TXN0521</t>
  </si>
  <si>
    <t>TXN0522</t>
  </si>
  <si>
    <t>TXN0523</t>
  </si>
  <si>
    <t>TXN0524</t>
  </si>
  <si>
    <t>TXN0525</t>
  </si>
  <si>
    <t>TXN0526</t>
  </si>
  <si>
    <t>TXN0527</t>
  </si>
  <si>
    <t>TXN0528</t>
  </si>
  <si>
    <t>TXN0529</t>
  </si>
  <si>
    <t>TXN0530</t>
  </si>
  <si>
    <t>TXN0531</t>
  </si>
  <si>
    <t>TXN0532</t>
  </si>
  <si>
    <t>TXN0533</t>
  </si>
  <si>
    <t>TXN0534</t>
  </si>
  <si>
    <t>TXN0535</t>
  </si>
  <si>
    <t>TXN0536</t>
  </si>
  <si>
    <t>TXN0537</t>
  </si>
  <si>
    <t>TXN0538</t>
  </si>
  <si>
    <t>TXN0539</t>
  </si>
  <si>
    <t>TXN0540</t>
  </si>
  <si>
    <t>TXN0541</t>
  </si>
  <si>
    <t>TXN0542</t>
  </si>
  <si>
    <t>TXN0543</t>
  </si>
  <si>
    <t>TXN0544</t>
  </si>
  <si>
    <t>TXN0545</t>
  </si>
  <si>
    <t>TXN0546</t>
  </si>
  <si>
    <t>TXN0547</t>
  </si>
  <si>
    <t>TXN0548</t>
  </si>
  <si>
    <t>TXN0549</t>
  </si>
  <si>
    <t>TXN0550</t>
  </si>
  <si>
    <t>TXN0551</t>
  </si>
  <si>
    <t>TXN0552</t>
  </si>
  <si>
    <t>TXN0553</t>
  </si>
  <si>
    <t>TXN0554</t>
  </si>
  <si>
    <t>TXN0555</t>
  </si>
  <si>
    <t>TXN0556</t>
  </si>
  <si>
    <t>TXN0557</t>
  </si>
  <si>
    <t>TXN0558</t>
  </si>
  <si>
    <t>TXN0559</t>
  </si>
  <si>
    <t>TXN0560</t>
  </si>
  <si>
    <t>TXN0561</t>
  </si>
  <si>
    <t>TXN0562</t>
  </si>
  <si>
    <t>TXN0563</t>
  </si>
  <si>
    <t>TXN0564</t>
  </si>
  <si>
    <t>TXN0565</t>
  </si>
  <si>
    <t>TXN0566</t>
  </si>
  <si>
    <t>TXN0567</t>
  </si>
  <si>
    <t>TXN0568</t>
  </si>
  <si>
    <t>TXN0569</t>
  </si>
  <si>
    <t>TXN0570</t>
  </si>
  <si>
    <t>TXN0571</t>
  </si>
  <si>
    <t>TXN0572</t>
  </si>
  <si>
    <t>TXN0573</t>
  </si>
  <si>
    <t>TXN0574</t>
  </si>
  <si>
    <t>TXN0575</t>
  </si>
  <si>
    <t>TXN0576</t>
  </si>
  <si>
    <t>TXN0577</t>
  </si>
  <si>
    <t>TXN0578</t>
  </si>
  <si>
    <t>TXN0579</t>
  </si>
  <si>
    <t>TXN0580</t>
  </si>
  <si>
    <t>TXN0581</t>
  </si>
  <si>
    <t>TXN0582</t>
  </si>
  <si>
    <t>TXN0583</t>
  </si>
  <si>
    <t>TXN0584</t>
  </si>
  <si>
    <t>TXN0585</t>
  </si>
  <si>
    <t>TXN0586</t>
  </si>
  <si>
    <t>TXN0587</t>
  </si>
  <si>
    <t>TXN0588</t>
  </si>
  <si>
    <t>TXN0589</t>
  </si>
  <si>
    <t>TXN0590</t>
  </si>
  <si>
    <t>TXN0591</t>
  </si>
  <si>
    <t>TXN0592</t>
  </si>
  <si>
    <t>TXN0593</t>
  </si>
  <si>
    <t>TXN0594</t>
  </si>
  <si>
    <t>TXN0595</t>
  </si>
  <si>
    <t>TXN0596</t>
  </si>
  <si>
    <t>TXN0597</t>
  </si>
  <si>
    <t>TXN0598</t>
  </si>
  <si>
    <t>TXN0599</t>
  </si>
  <si>
    <t>TXN0600</t>
  </si>
  <si>
    <t>TXN0601</t>
  </si>
  <si>
    <t>TXN0602</t>
  </si>
  <si>
    <t>TXN0603</t>
  </si>
  <si>
    <t>TXN0604</t>
  </si>
  <si>
    <t>TXN0605</t>
  </si>
  <si>
    <t>TXN0606</t>
  </si>
  <si>
    <t>TXN0607</t>
  </si>
  <si>
    <t>TXN0608</t>
  </si>
  <si>
    <t>TXN0609</t>
  </si>
  <si>
    <t>TXN0610</t>
  </si>
  <si>
    <t>TXN0611</t>
  </si>
  <si>
    <t>TXN0612</t>
  </si>
  <si>
    <t>TXN0613</t>
  </si>
  <si>
    <t>TXN0614</t>
  </si>
  <si>
    <t>TXN0615</t>
  </si>
  <si>
    <t>TXN0616</t>
  </si>
  <si>
    <t>TXN0617</t>
  </si>
  <si>
    <t>TXN0618</t>
  </si>
  <si>
    <t>TXN0619</t>
  </si>
  <si>
    <t>TXN0620</t>
  </si>
  <si>
    <t>TXN0621</t>
  </si>
  <si>
    <t>TXN0622</t>
  </si>
  <si>
    <t>TXN0623</t>
  </si>
  <si>
    <t>TXN0624</t>
  </si>
  <si>
    <t>TXN0625</t>
  </si>
  <si>
    <t>TXN0626</t>
  </si>
  <si>
    <t>TXN0627</t>
  </si>
  <si>
    <t>TXN0628</t>
  </si>
  <si>
    <t>TXN0629</t>
  </si>
  <si>
    <t>TXN0630</t>
  </si>
  <si>
    <t>TXN0631</t>
  </si>
  <si>
    <t>TXN0632</t>
  </si>
  <si>
    <t>TXN0633</t>
  </si>
  <si>
    <t>TXN0634</t>
  </si>
  <si>
    <t>TXN0635</t>
  </si>
  <si>
    <t>TXN0636</t>
  </si>
  <si>
    <t>TXN0637</t>
  </si>
  <si>
    <t>TXN0638</t>
  </si>
  <si>
    <t>TXN0639</t>
  </si>
  <si>
    <t>TXN0640</t>
  </si>
  <si>
    <t>TXN0641</t>
  </si>
  <si>
    <t>TXN0642</t>
  </si>
  <si>
    <t>TXN0643</t>
  </si>
  <si>
    <t>TXN0644</t>
  </si>
  <si>
    <t>TXN0645</t>
  </si>
  <si>
    <t>TXN0646</t>
  </si>
  <si>
    <t>TXN0647</t>
  </si>
  <si>
    <t>TXN0648</t>
  </si>
  <si>
    <t>TXN0649</t>
  </si>
  <si>
    <t>TXN0650</t>
  </si>
  <si>
    <t>TXN0651</t>
  </si>
  <si>
    <t>TXN0652</t>
  </si>
  <si>
    <t>TXN0653</t>
  </si>
  <si>
    <t>TXN0654</t>
  </si>
  <si>
    <t>TXN0655</t>
  </si>
  <si>
    <t>TXN0656</t>
  </si>
  <si>
    <t>TXN0657</t>
  </si>
  <si>
    <t>TXN0658</t>
  </si>
  <si>
    <t>TXN0659</t>
  </si>
  <si>
    <t>TXN0660</t>
  </si>
  <si>
    <t>TXN0661</t>
  </si>
  <si>
    <t>TXN0662</t>
  </si>
  <si>
    <t>TXN0663</t>
  </si>
  <si>
    <t>TXN0664</t>
  </si>
  <si>
    <t>TXN0665</t>
  </si>
  <si>
    <t>TXN0666</t>
  </si>
  <si>
    <t>TXN0667</t>
  </si>
  <si>
    <t>TXN0668</t>
  </si>
  <si>
    <t>TXN0669</t>
  </si>
  <si>
    <t>TXN0670</t>
  </si>
  <si>
    <t>TXN0671</t>
  </si>
  <si>
    <t>TXN0672</t>
  </si>
  <si>
    <t>TXN0673</t>
  </si>
  <si>
    <t>TXN0674</t>
  </si>
  <si>
    <t>TXN0675</t>
  </si>
  <si>
    <t>TXN0676</t>
  </si>
  <si>
    <t>TXN0677</t>
  </si>
  <si>
    <t>TXN0678</t>
  </si>
  <si>
    <t>TXN0679</t>
  </si>
  <si>
    <t>TXN0680</t>
  </si>
  <si>
    <t>TXN0681</t>
  </si>
  <si>
    <t>TXN0682</t>
  </si>
  <si>
    <t>TXN0683</t>
  </si>
  <si>
    <t>TXN0684</t>
  </si>
  <si>
    <t>TXN0685</t>
  </si>
  <si>
    <t>TXN0686</t>
  </si>
  <si>
    <t>TXN0687</t>
  </si>
  <si>
    <t>TXN0688</t>
  </si>
  <si>
    <t>TXN0689</t>
  </si>
  <si>
    <t>TXN0690</t>
  </si>
  <si>
    <t>TXN0691</t>
  </si>
  <si>
    <t>TXN0692</t>
  </si>
  <si>
    <t>TXN0693</t>
  </si>
  <si>
    <t>TXN0694</t>
  </si>
  <si>
    <t>TXN0695</t>
  </si>
  <si>
    <t>TXN0696</t>
  </si>
  <si>
    <t>TXN0697</t>
  </si>
  <si>
    <t>TXN0698</t>
  </si>
  <si>
    <t>TXN0699</t>
  </si>
  <si>
    <t>TXN0700</t>
  </si>
  <si>
    <t>TXN0701</t>
  </si>
  <si>
    <t>TXN0702</t>
  </si>
  <si>
    <t>TXN0703</t>
  </si>
  <si>
    <t>TXN0704</t>
  </si>
  <si>
    <t>TXN0705</t>
  </si>
  <si>
    <t>TXN0706</t>
  </si>
  <si>
    <t>TXN0707</t>
  </si>
  <si>
    <t>TXN0708</t>
  </si>
  <si>
    <t>TXN0709</t>
  </si>
  <si>
    <t>TXN0710</t>
  </si>
  <si>
    <t>TXN0711</t>
  </si>
  <si>
    <t>TXN0712</t>
  </si>
  <si>
    <t>TXN0713</t>
  </si>
  <si>
    <t>TXN0714</t>
  </si>
  <si>
    <t>TXN0715</t>
  </si>
  <si>
    <t>TXN0716</t>
  </si>
  <si>
    <t>TXN0717</t>
  </si>
  <si>
    <t>TXN0718</t>
  </si>
  <si>
    <t>TXN0719</t>
  </si>
  <si>
    <t>TXN0720</t>
  </si>
  <si>
    <t>TXN0721</t>
  </si>
  <si>
    <t>TXN0722</t>
  </si>
  <si>
    <t>TXN0723</t>
  </si>
  <si>
    <t>TXN0724</t>
  </si>
  <si>
    <t>TXN0725</t>
  </si>
  <si>
    <t>TXN0726</t>
  </si>
  <si>
    <t>TXN0727</t>
  </si>
  <si>
    <t>TXN0728</t>
  </si>
  <si>
    <t>TXN0729</t>
  </si>
  <si>
    <t>TXN0730</t>
  </si>
  <si>
    <t>TXN0731</t>
  </si>
  <si>
    <t>TXN0732</t>
  </si>
  <si>
    <t>TXN0733</t>
  </si>
  <si>
    <t>TXN0734</t>
  </si>
  <si>
    <t>TXN0735</t>
  </si>
  <si>
    <t>TXN0736</t>
  </si>
  <si>
    <t>TXN0737</t>
  </si>
  <si>
    <t>TXN0738</t>
  </si>
  <si>
    <t>TXN0739</t>
  </si>
  <si>
    <t>TXN0740</t>
  </si>
  <si>
    <t>TXN0741</t>
  </si>
  <si>
    <t>TXN0742</t>
  </si>
  <si>
    <t>TXN0743</t>
  </si>
  <si>
    <t>TXN0744</t>
  </si>
  <si>
    <t>TXN0745</t>
  </si>
  <si>
    <t>TXN0746</t>
  </si>
  <si>
    <t>TXN0747</t>
  </si>
  <si>
    <t>TXN0748</t>
  </si>
  <si>
    <t>TXN0749</t>
  </si>
  <si>
    <t>TXN0750</t>
  </si>
  <si>
    <t>TXN0751</t>
  </si>
  <si>
    <t>TXN0752</t>
  </si>
  <si>
    <t>TXN0753</t>
  </si>
  <si>
    <t>TXN0754</t>
  </si>
  <si>
    <t>TXN0755</t>
  </si>
  <si>
    <t>TXN0756</t>
  </si>
  <si>
    <t>TXN0757</t>
  </si>
  <si>
    <t>TXN0758</t>
  </si>
  <si>
    <t>TXN0759</t>
  </si>
  <si>
    <t>TXN0760</t>
  </si>
  <si>
    <t>TXN0761</t>
  </si>
  <si>
    <t>TXN0762</t>
  </si>
  <si>
    <t>TXN0763</t>
  </si>
  <si>
    <t>TXN0764</t>
  </si>
  <si>
    <t>TXN0765</t>
  </si>
  <si>
    <t>TXN0766</t>
  </si>
  <si>
    <t>TXN0767</t>
  </si>
  <si>
    <t>TXN0768</t>
  </si>
  <si>
    <t>TXN0769</t>
  </si>
  <si>
    <t>TXN0770</t>
  </si>
  <si>
    <t>TXN0771</t>
  </si>
  <si>
    <t>TXN0772</t>
  </si>
  <si>
    <t>TXN0773</t>
  </si>
  <si>
    <t>TXN0774</t>
  </si>
  <si>
    <t>TXN0775</t>
  </si>
  <si>
    <t>TXN0776</t>
  </si>
  <si>
    <t>TXN0777</t>
  </si>
  <si>
    <t>TXN0778</t>
  </si>
  <si>
    <t>TXN0779</t>
  </si>
  <si>
    <t>TXN0780</t>
  </si>
  <si>
    <t>TXN0781</t>
  </si>
  <si>
    <t>TXN0782</t>
  </si>
  <si>
    <t>TXN0783</t>
  </si>
  <si>
    <t>TXN0784</t>
  </si>
  <si>
    <t>TXN0785</t>
  </si>
  <si>
    <t>TXN0786</t>
  </si>
  <si>
    <t>TXN0787</t>
  </si>
  <si>
    <t>TXN0788</t>
  </si>
  <si>
    <t>TXN0789</t>
  </si>
  <si>
    <t>TXN0790</t>
  </si>
  <si>
    <t>TXN0791</t>
  </si>
  <si>
    <t>TXN0792</t>
  </si>
  <si>
    <t>TXN0793</t>
  </si>
  <si>
    <t>TXN0794</t>
  </si>
  <si>
    <t>TXN0795</t>
  </si>
  <si>
    <t>TXN0796</t>
  </si>
  <si>
    <t>TXN0797</t>
  </si>
  <si>
    <t>TXN0798</t>
  </si>
  <si>
    <t>TXN0799</t>
  </si>
  <si>
    <t>TXN0800</t>
  </si>
  <si>
    <t>TXN0801</t>
  </si>
  <si>
    <t>TXN0802</t>
  </si>
  <si>
    <t>TXN0803</t>
  </si>
  <si>
    <t>TXN0804</t>
  </si>
  <si>
    <t>TXN0805</t>
  </si>
  <si>
    <t>TXN0806</t>
  </si>
  <si>
    <t>TXN0807</t>
  </si>
  <si>
    <t>TXN0808</t>
  </si>
  <si>
    <t>TXN0809</t>
  </si>
  <si>
    <t>TXN0810</t>
  </si>
  <si>
    <t>TXN0811</t>
  </si>
  <si>
    <t>TXN0812</t>
  </si>
  <si>
    <t>TXN0813</t>
  </si>
  <si>
    <t>TXN0814</t>
  </si>
  <si>
    <t>TXN0815</t>
  </si>
  <si>
    <t>TXN0816</t>
  </si>
  <si>
    <t>TXN0817</t>
  </si>
  <si>
    <t>TXN0818</t>
  </si>
  <si>
    <t>TXN0819</t>
  </si>
  <si>
    <t>TXN0820</t>
  </si>
  <si>
    <t>TXN0821</t>
  </si>
  <si>
    <t>TXN0822</t>
  </si>
  <si>
    <t>TXN0823</t>
  </si>
  <si>
    <t>TXN0824</t>
  </si>
  <si>
    <t>TXN0825</t>
  </si>
  <si>
    <t>TXN0826</t>
  </si>
  <si>
    <t>TXN0827</t>
  </si>
  <si>
    <t>TXN0828</t>
  </si>
  <si>
    <t>TXN0829</t>
  </si>
  <si>
    <t>TXN0830</t>
  </si>
  <si>
    <t>TXN0831</t>
  </si>
  <si>
    <t>TXN0832</t>
  </si>
  <si>
    <t>TXN0833</t>
  </si>
  <si>
    <t>TXN0834</t>
  </si>
  <si>
    <t>TXN0835</t>
  </si>
  <si>
    <t>TXN0836</t>
  </si>
  <si>
    <t>TXN0837</t>
  </si>
  <si>
    <t>TXN0838</t>
  </si>
  <si>
    <t>TXN0839</t>
  </si>
  <si>
    <t>TXN0840</t>
  </si>
  <si>
    <t>TXN0841</t>
  </si>
  <si>
    <t>TXN0842</t>
  </si>
  <si>
    <t>TXN0843</t>
  </si>
  <si>
    <t>TXN0844</t>
  </si>
  <si>
    <t>TXN0845</t>
  </si>
  <si>
    <t>TXN0846</t>
  </si>
  <si>
    <t>TXN0847</t>
  </si>
  <si>
    <t>TXN0848</t>
  </si>
  <si>
    <t>TXN0849</t>
  </si>
  <si>
    <t>TXN0850</t>
  </si>
  <si>
    <t>TXN0851</t>
  </si>
  <si>
    <t>TXN0852</t>
  </si>
  <si>
    <t>TXN0853</t>
  </si>
  <si>
    <t>TXN0854</t>
  </si>
  <si>
    <t>TXN0855</t>
  </si>
  <si>
    <t>TXN0856</t>
  </si>
  <si>
    <t>TXN0857</t>
  </si>
  <si>
    <t>TXN0858</t>
  </si>
  <si>
    <t>TXN0859</t>
  </si>
  <si>
    <t>TXN0860</t>
  </si>
  <si>
    <t>TXN0861</t>
  </si>
  <si>
    <t>TXN0862</t>
  </si>
  <si>
    <t>TXN0863</t>
  </si>
  <si>
    <t>TXN0864</t>
  </si>
  <si>
    <t>TXN0865</t>
  </si>
  <si>
    <t>TXN0866</t>
  </si>
  <si>
    <t>TXN0867</t>
  </si>
  <si>
    <t>TXN0868</t>
  </si>
  <si>
    <t>TXN0869</t>
  </si>
  <si>
    <t>TXN0870</t>
  </si>
  <si>
    <t>TXN0871</t>
  </si>
  <si>
    <t>TXN0872</t>
  </si>
  <si>
    <t>TXN0873</t>
  </si>
  <si>
    <t>TXN0874</t>
  </si>
  <si>
    <t>TXN0875</t>
  </si>
  <si>
    <t>TXN0876</t>
  </si>
  <si>
    <t>TXN0877</t>
  </si>
  <si>
    <t>TXN0878</t>
  </si>
  <si>
    <t>TXN0879</t>
  </si>
  <si>
    <t>TXN0880</t>
  </si>
  <si>
    <t>TXN0881</t>
  </si>
  <si>
    <t>TXN0882</t>
  </si>
  <si>
    <t>TXN0883</t>
  </si>
  <si>
    <t>TXN0884</t>
  </si>
  <si>
    <t>TXN0885</t>
  </si>
  <si>
    <t>TXN0886</t>
  </si>
  <si>
    <t>TXN0887</t>
  </si>
  <si>
    <t>TXN0888</t>
  </si>
  <si>
    <t>TXN0889</t>
  </si>
  <si>
    <t>TXN0890</t>
  </si>
  <si>
    <t>TXN0891</t>
  </si>
  <si>
    <t>TXN0892</t>
  </si>
  <si>
    <t>TXN0893</t>
  </si>
  <si>
    <t>TXN0894</t>
  </si>
  <si>
    <t>TXN0895</t>
  </si>
  <si>
    <t>TXN0896</t>
  </si>
  <si>
    <t>TXN0897</t>
  </si>
  <si>
    <t>TXN0898</t>
  </si>
  <si>
    <t>TXN0899</t>
  </si>
  <si>
    <t>TXN0901</t>
  </si>
  <si>
    <t>TXN0902</t>
  </si>
  <si>
    <t>TXN0903</t>
  </si>
  <si>
    <t>TXN0904</t>
  </si>
  <si>
    <t>TXN0905</t>
  </si>
  <si>
    <t>TXN0906</t>
  </si>
  <si>
    <t>TXN0907</t>
  </si>
  <si>
    <t>TXN0908</t>
  </si>
  <si>
    <t>TXN0909</t>
  </si>
  <si>
    <t>TXN0910</t>
  </si>
  <si>
    <t>TXN0911</t>
  </si>
  <si>
    <t>TXN0912</t>
  </si>
  <si>
    <t>TXN0913</t>
  </si>
  <si>
    <t>TXN0914</t>
  </si>
  <si>
    <t>TXN0915</t>
  </si>
  <si>
    <t>TXN0916</t>
  </si>
  <si>
    <t>TXN0917</t>
  </si>
  <si>
    <t>TXN0918</t>
  </si>
  <si>
    <t>TXN0919</t>
  </si>
  <si>
    <t>TXN0920</t>
  </si>
  <si>
    <t>TXN0921</t>
  </si>
  <si>
    <t>TXN0922</t>
  </si>
  <si>
    <t>TXN0923</t>
  </si>
  <si>
    <t>TXN0924</t>
  </si>
  <si>
    <t>TXN0925</t>
  </si>
  <si>
    <t>TXN0926</t>
  </si>
  <si>
    <t>TXN0927</t>
  </si>
  <si>
    <t>TXN0928</t>
  </si>
  <si>
    <t>TXN0929</t>
  </si>
  <si>
    <t>TXN0930</t>
  </si>
  <si>
    <t>TXN0931</t>
  </si>
  <si>
    <t>TXN0932</t>
  </si>
  <si>
    <t>TXN0933</t>
  </si>
  <si>
    <t>TXN0934</t>
  </si>
  <si>
    <t>TXN0935</t>
  </si>
  <si>
    <t>TXN0936</t>
  </si>
  <si>
    <t>TXN0937</t>
  </si>
  <si>
    <t>TXN0938</t>
  </si>
  <si>
    <t>TXN0939</t>
  </si>
  <si>
    <t>TXN0940</t>
  </si>
  <si>
    <t>TXN0941</t>
  </si>
  <si>
    <t>TXN0942</t>
  </si>
  <si>
    <t>TXN0943</t>
  </si>
  <si>
    <t>TXN0944</t>
  </si>
  <si>
    <t>TXN0945</t>
  </si>
  <si>
    <t>TXN0946</t>
  </si>
  <si>
    <t>TXN0947</t>
  </si>
  <si>
    <t>TXN0948</t>
  </si>
  <si>
    <t>TXN0949</t>
  </si>
  <si>
    <t>TXN0950</t>
  </si>
  <si>
    <t>TXN0951</t>
  </si>
  <si>
    <t>TXN0952</t>
  </si>
  <si>
    <t>TXN0953</t>
  </si>
  <si>
    <t>TXN0954</t>
  </si>
  <si>
    <t>TXN0955</t>
  </si>
  <si>
    <t>TXN0956</t>
  </si>
  <si>
    <t>TXN0957</t>
  </si>
  <si>
    <t>TXN0958</t>
  </si>
  <si>
    <t>TXN0959</t>
  </si>
  <si>
    <t>TXN0960</t>
  </si>
  <si>
    <t>TXN0961</t>
  </si>
  <si>
    <t>TXN0962</t>
  </si>
  <si>
    <t>TXN0963</t>
  </si>
  <si>
    <t>TXN0964</t>
  </si>
  <si>
    <t>TXN0965</t>
  </si>
  <si>
    <t>TXN0966</t>
  </si>
  <si>
    <t>TXN0967</t>
  </si>
  <si>
    <t>TXN0968</t>
  </si>
  <si>
    <t>TXN0969</t>
  </si>
  <si>
    <t>TXN0970</t>
  </si>
  <si>
    <t>TXN0971</t>
  </si>
  <si>
    <t>TXN0972</t>
  </si>
  <si>
    <t>TXN0973</t>
  </si>
  <si>
    <t>TXN0974</t>
  </si>
  <si>
    <t>TXN0975</t>
  </si>
  <si>
    <t>TXN0976</t>
  </si>
  <si>
    <t>TXN0977</t>
  </si>
  <si>
    <t>TXN0978</t>
  </si>
  <si>
    <t>TXN0979</t>
  </si>
  <si>
    <t>TXN0980</t>
  </si>
  <si>
    <t>TXN0981</t>
  </si>
  <si>
    <t>TXN0982</t>
  </si>
  <si>
    <t>TXN0983</t>
  </si>
  <si>
    <t>TXN0984</t>
  </si>
  <si>
    <t>TXN0985</t>
  </si>
  <si>
    <t>TXN0986</t>
  </si>
  <si>
    <t>TXN0987</t>
  </si>
  <si>
    <t>TXN0988</t>
  </si>
  <si>
    <t>TXN0989</t>
  </si>
  <si>
    <t>TXN0990</t>
  </si>
  <si>
    <t>TXN0991</t>
  </si>
  <si>
    <t>TXN0992</t>
  </si>
  <si>
    <t>TXN0993</t>
  </si>
  <si>
    <t>TXN0994</t>
  </si>
  <si>
    <t>TXN0995</t>
  </si>
  <si>
    <t>TXN0996</t>
  </si>
  <si>
    <t>TXN0997</t>
  </si>
  <si>
    <t>TXN0998</t>
  </si>
  <si>
    <t>TXN0999</t>
  </si>
  <si>
    <t>TXN1000</t>
  </si>
  <si>
    <t>PORTFOLIO PROJECT #1 — WAREHOUSE INVENTORY ANALYSIS</t>
  </si>
  <si>
    <t>Project Type</t>
  </si>
  <si>
    <t>Personal Portfolio Project (Simulated Data)</t>
  </si>
  <si>
    <t>Role</t>
  </si>
  <si>
    <t>Data Analyst</t>
  </si>
  <si>
    <t>Tool</t>
  </si>
  <si>
    <t>Microsoft Excel</t>
  </si>
  <si>
    <t>Rows</t>
  </si>
  <si>
    <t>1,000 transaction records</t>
  </si>
  <si>
    <t>Objective</t>
  </si>
  <si>
    <t>Clean warehouse transaction data and analyse stock movement, inventory value, and potential stock risks.</t>
  </si>
  <si>
    <t>Important</t>
  </si>
  <si>
    <t>The Raw_Data sheet intentionally contains a small number of data-quality issues for cleaning practice.</t>
  </si>
  <si>
    <t>Row Labels</t>
  </si>
  <si>
    <t>Grand Total</t>
  </si>
  <si>
    <t>Sum of Inventory_Value_RM</t>
  </si>
  <si>
    <t>Sum of Quantity_Issued</t>
  </si>
  <si>
    <t>WAREHOUSE INVENTORY ANALYSIS DASHBOARD</t>
  </si>
  <si>
    <t>TOTAL INVENTORY VALUE</t>
  </si>
  <si>
    <t>TOTAL QUANTITY ISSUED</t>
  </si>
  <si>
    <t>TOTAL CLOSING STOCK</t>
  </si>
  <si>
    <t>TOTAL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</si>
</sst>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9" formatCode="&quot;RM&quot;\ #,##0.00,,&quot;M&quot;"/>
  </numFmts>
  <fonts count="8">
    <font>
      <sz val="11"/>
      <name val="Carlito"/>
    </font>
    <font>
      <b/>
      <sz val="11"/>
      <color rgb="FFFFFFFF"/>
      <name val="Carlito"/>
    </font>
    <font>
      <b/>
      <sz val="16"/>
      <color rgb="FFFFFFFF"/>
      <name val="Carlito"/>
    </font>
    <font>
      <b/>
      <sz val="11"/>
      <name val="Carlito"/>
    </font>
    <font>
      <b/>
      <sz val="20"/>
      <name val="Arial"/>
      <family val="2"/>
    </font>
    <font>
      <sz val="11"/>
      <color theme="0"/>
      <name val="Arial"/>
      <family val="2"/>
    </font>
    <font>
      <b/>
      <sz val="12"/>
      <color theme="0"/>
      <name val="Arial"/>
      <family val="2"/>
    </font>
    <font>
      <b/>
      <sz val="20"/>
      <color theme="0"/>
      <name val="Carlito"/>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002060"/>
        <bgColor indexed="64"/>
      </patternFill>
    </fill>
  </fills>
  <borders count="10">
    <border>
      <left/>
      <right/>
      <top/>
      <bottom/>
      <diagonal/>
    </border>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30">
    <xf numFmtId="0" fontId="0" fillId="0" borderId="0" xfId="0"/>
    <xf numFmtId="0" fontId="0" fillId="0" borderId="1" xfId="0" applyBorder="1"/>
    <xf numFmtId="164" fontId="0" fillId="0" borderId="0" xfId="0" applyNumberFormat="1"/>
    <xf numFmtId="4" fontId="0" fillId="0" borderId="0" xfId="0" applyNumberFormat="1"/>
    <xf numFmtId="0" fontId="1" fillId="2" borderId="0" xfId="0" applyFont="1" applyFill="1" applyAlignment="1">
      <alignment horizontal="center" vertical="center"/>
    </xf>
    <xf numFmtId="0" fontId="3" fillId="3" borderId="0" xfId="0" applyFont="1" applyFill="1" applyAlignment="1">
      <alignment wrapText="1"/>
    </xf>
    <xf numFmtId="0" fontId="0" fillId="0" borderId="0" xfId="0" applyAlignment="1">
      <alignment wrapText="1"/>
    </xf>
    <xf numFmtId="0" fontId="2" fillId="2" borderId="0" xfId="0" applyFont="1" applyFill="1" applyAlignment="1">
      <alignment horizontal="center" vertical="center"/>
    </xf>
    <xf numFmtId="0" fontId="0" fillId="0" borderId="0" xfId="0"/>
    <xf numFmtId="0" fontId="0" fillId="0" borderId="0" xfId="0" pivotButton="1"/>
    <xf numFmtId="0" fontId="0" fillId="0" borderId="0" xfId="0" applyAlignment="1">
      <alignment horizontal="left"/>
    </xf>
    <xf numFmtId="0" fontId="0" fillId="0" borderId="0" xfId="0" applyNumberFormat="1"/>
    <xf numFmtId="0" fontId="4" fillId="0" borderId="0" xfId="0" applyFont="1" applyAlignment="1">
      <alignment horizontal="center"/>
    </xf>
    <xf numFmtId="0" fontId="5" fillId="4" borderId="3" xfId="0" applyFont="1" applyFill="1" applyBorder="1" applyAlignment="1">
      <alignment horizontal="center"/>
    </xf>
    <xf numFmtId="0" fontId="5" fillId="4" borderId="4" xfId="0" applyFont="1" applyFill="1" applyBorder="1" applyAlignment="1">
      <alignment horizontal="center"/>
    </xf>
    <xf numFmtId="0" fontId="6" fillId="4" borderId="2" xfId="0" applyFont="1" applyFill="1" applyBorder="1" applyAlignment="1">
      <alignment horizontal="center"/>
    </xf>
    <xf numFmtId="169" fontId="7" fillId="4" borderId="5" xfId="0" applyNumberFormat="1" applyFont="1" applyFill="1" applyBorder="1" applyAlignment="1">
      <alignment horizontal="center"/>
    </xf>
    <xf numFmtId="169" fontId="7" fillId="4" borderId="1" xfId="0" applyNumberFormat="1" applyFont="1" applyFill="1" applyBorder="1" applyAlignment="1">
      <alignment horizontal="center"/>
    </xf>
    <xf numFmtId="169" fontId="7" fillId="4" borderId="6" xfId="0" applyNumberFormat="1" applyFont="1" applyFill="1" applyBorder="1" applyAlignment="1">
      <alignment horizontal="center"/>
    </xf>
    <xf numFmtId="169" fontId="7" fillId="4" borderId="7" xfId="0" applyNumberFormat="1" applyFont="1" applyFill="1" applyBorder="1" applyAlignment="1">
      <alignment horizontal="center"/>
    </xf>
    <xf numFmtId="169" fontId="7" fillId="4" borderId="8" xfId="0" applyNumberFormat="1" applyFont="1" applyFill="1" applyBorder="1" applyAlignment="1">
      <alignment horizontal="center"/>
    </xf>
    <xf numFmtId="169" fontId="7" fillId="4" borderId="9" xfId="0" applyNumberFormat="1" applyFont="1" applyFill="1" applyBorder="1" applyAlignment="1">
      <alignment horizontal="center"/>
    </xf>
    <xf numFmtId="0" fontId="6" fillId="4" borderId="3" xfId="0" applyFont="1" applyFill="1" applyBorder="1" applyAlignment="1">
      <alignment horizontal="center"/>
    </xf>
    <xf numFmtId="0" fontId="6" fillId="4" borderId="4" xfId="0" applyFont="1" applyFill="1" applyBorder="1" applyAlignment="1">
      <alignment horizontal="center"/>
    </xf>
    <xf numFmtId="3" fontId="7" fillId="4" borderId="5" xfId="0" applyNumberFormat="1" applyFont="1" applyFill="1" applyBorder="1" applyAlignment="1">
      <alignment horizontal="center"/>
    </xf>
    <xf numFmtId="3" fontId="7" fillId="4" borderId="1" xfId="0" applyNumberFormat="1" applyFont="1" applyFill="1" applyBorder="1" applyAlignment="1">
      <alignment horizontal="center"/>
    </xf>
    <xf numFmtId="3" fontId="7" fillId="4" borderId="7" xfId="0" applyNumberFormat="1" applyFont="1" applyFill="1" applyBorder="1" applyAlignment="1">
      <alignment horizontal="center"/>
    </xf>
    <xf numFmtId="3" fontId="7" fillId="4" borderId="8" xfId="0" applyNumberFormat="1" applyFont="1" applyFill="1" applyBorder="1" applyAlignment="1">
      <alignment horizontal="center"/>
    </xf>
    <xf numFmtId="3" fontId="7" fillId="4" borderId="6" xfId="0" applyNumberFormat="1" applyFont="1" applyFill="1" applyBorder="1" applyAlignment="1">
      <alignment horizontal="center"/>
    </xf>
    <xf numFmtId="3" fontId="7" fillId="4" borderId="9"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[Warehouse_Inventory_Analysis_Dashboard.xlsx]Analysis!PivotTable2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Inventory Value by Category</a:t>
            </a:r>
            <a:endParaRPr lang="en-MY"/>
          </a:p>
        </c:rich>
      </c:tx>
      <c:layout>
        <c:manualLayout>
          <c:xMode val="edge"/>
          <c:yMode val="edge"/>
          <c:x val="0.25446157964311245"/>
          <c:y val="2.51920446563897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cat>
            <c:strRef>
              <c:f>Analysis!$A$2:$A$7</c:f>
              <c:strCache>
                <c:ptCount val="5"/>
                <c:pt idx="0">
                  <c:v>Electrical</c:v>
                </c:pt>
                <c:pt idx="1">
                  <c:v>Packaging</c:v>
                </c:pt>
                <c:pt idx="2">
                  <c:v>Safety</c:v>
                </c:pt>
                <c:pt idx="3">
                  <c:v>Mechanical</c:v>
                </c:pt>
                <c:pt idx="4">
                  <c:v>Material Handling</c:v>
                </c:pt>
              </c:strCache>
            </c:strRef>
          </c:cat>
          <c:val>
            <c:numRef>
              <c:f>Analysis!$B$2:$B$7</c:f>
              <c:numCache>
                <c:formatCode>#,##0.00</c:formatCode>
                <c:ptCount val="5"/>
                <c:pt idx="0">
                  <c:v>6654869.4799999986</c:v>
                </c:pt>
                <c:pt idx="1">
                  <c:v>5833370.1600000039</c:v>
                </c:pt>
                <c:pt idx="2">
                  <c:v>5728669.3900000006</c:v>
                </c:pt>
                <c:pt idx="3">
                  <c:v>4366088.32</c:v>
                </c:pt>
                <c:pt idx="4">
                  <c:v>3759969.8400000008</c:v>
                </c:pt>
              </c:numCache>
            </c:numRef>
          </c:val>
          <c:extLst>
            <c:ext xmlns:c16="http://schemas.microsoft.com/office/drawing/2014/chart" uri="{C3380CC4-5D6E-409C-BE32-E72D297353CC}">
              <c16:uniqueId val="{00000000-F5A8-4DC7-A0DB-918FC8809C5E}"/>
            </c:ext>
          </c:extLst>
        </c:ser>
        <c:dLbls>
          <c:showLegendKey val="0"/>
          <c:showVal val="0"/>
          <c:showCatName val="0"/>
          <c:showSerName val="0"/>
          <c:showPercent val="0"/>
          <c:showBubbleSize val="0"/>
        </c:dLbls>
        <c:gapWidth val="219"/>
        <c:overlap val="-27"/>
        <c:axId val="1324318032"/>
        <c:axId val="1313974928"/>
      </c:barChart>
      <c:catAx>
        <c:axId val="132431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974928"/>
        <c:crosses val="autoZero"/>
        <c:auto val="1"/>
        <c:lblAlgn val="ctr"/>
        <c:lblOffset val="100"/>
        <c:noMultiLvlLbl val="0"/>
      </c:catAx>
      <c:valAx>
        <c:axId val="1313974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318032"/>
        <c:crosses val="autoZero"/>
        <c:crossBetween val="between"/>
        <c:dispUnits>
          <c:builtInUnit val="millions"/>
          <c:dispUnitsLbl>
            <c:layout>
              <c:manualLayout>
                <c:xMode val="edge"/>
                <c:yMode val="edge"/>
                <c:x val="1.8475755057071171E-2"/>
                <c:y val="0.36661971830985918"/>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[Warehouse_Inventory_Analysis_Dashboard.xlsx]Analysis!PivotTable3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Stock Movement by Category</a:t>
            </a:r>
            <a:endParaRPr lang="en-MY"/>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c:f>
              <c:strCache>
                <c:ptCount val="1"/>
                <c:pt idx="0">
                  <c:v>Total</c:v>
                </c:pt>
              </c:strCache>
            </c:strRef>
          </c:tx>
          <c:spPr>
            <a:solidFill>
              <a:schemeClr val="accent1"/>
            </a:solidFill>
            <a:ln>
              <a:noFill/>
            </a:ln>
            <a:effectLst/>
          </c:spPr>
          <c:invertIfNegative val="0"/>
          <c:cat>
            <c:strRef>
              <c:f>Analysis!$G$4:$G$9</c:f>
              <c:strCache>
                <c:ptCount val="5"/>
                <c:pt idx="0">
                  <c:v>Packaging</c:v>
                </c:pt>
                <c:pt idx="1">
                  <c:v>Electrical</c:v>
                </c:pt>
                <c:pt idx="2">
                  <c:v>Mechanical</c:v>
                </c:pt>
                <c:pt idx="3">
                  <c:v>Safety</c:v>
                </c:pt>
                <c:pt idx="4">
                  <c:v>Material Handling</c:v>
                </c:pt>
              </c:strCache>
            </c:strRef>
          </c:cat>
          <c:val>
            <c:numRef>
              <c:f>Analysis!$H$4:$H$9</c:f>
              <c:numCache>
                <c:formatCode>General</c:formatCode>
                <c:ptCount val="5"/>
                <c:pt idx="0">
                  <c:v>28880</c:v>
                </c:pt>
                <c:pt idx="1">
                  <c:v>21205</c:v>
                </c:pt>
                <c:pt idx="2">
                  <c:v>20156</c:v>
                </c:pt>
                <c:pt idx="3">
                  <c:v>18063</c:v>
                </c:pt>
                <c:pt idx="4">
                  <c:v>13223</c:v>
                </c:pt>
              </c:numCache>
            </c:numRef>
          </c:val>
          <c:extLst>
            <c:ext xmlns:c16="http://schemas.microsoft.com/office/drawing/2014/chart" uri="{C3380CC4-5D6E-409C-BE32-E72D297353CC}">
              <c16:uniqueId val="{00000000-E575-4D2D-951E-DF082BD2F64A}"/>
            </c:ext>
          </c:extLst>
        </c:ser>
        <c:dLbls>
          <c:showLegendKey val="0"/>
          <c:showVal val="0"/>
          <c:showCatName val="0"/>
          <c:showSerName val="0"/>
          <c:showPercent val="0"/>
          <c:showBubbleSize val="0"/>
        </c:dLbls>
        <c:gapWidth val="219"/>
        <c:overlap val="-27"/>
        <c:axId val="1318471104"/>
        <c:axId val="1313978768"/>
      </c:barChart>
      <c:catAx>
        <c:axId val="1318471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978768"/>
        <c:crosses val="autoZero"/>
        <c:auto val="1"/>
        <c:lblAlgn val="ctr"/>
        <c:lblOffset val="100"/>
        <c:noMultiLvlLbl val="0"/>
      </c:catAx>
      <c:valAx>
        <c:axId val="1313978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847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[Warehouse_Inventory_Analysis_Dashboard.xlsx]Analysis!PivotTable4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sz="1400" b="0" i="0" u="none" strike="noStrike" baseline="0"/>
              <a:t>Top 5 Products by Quantity Issued</a:t>
            </a:r>
            <a:endParaRPr lang="en-MY"/>
          </a:p>
        </c:rich>
      </c:tx>
      <c:layout>
        <c:manualLayout>
          <c:xMode val="edge"/>
          <c:yMode val="edge"/>
          <c:x val="0.28146326974717073"/>
          <c:y val="5.6709824023674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Y"/>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Analysis!$L$1</c:f>
              <c:strCache>
                <c:ptCount val="1"/>
                <c:pt idx="0">
                  <c:v>Total</c:v>
                </c:pt>
              </c:strCache>
            </c:strRef>
          </c:tx>
          <c:spPr>
            <a:solidFill>
              <a:schemeClr val="accent1"/>
            </a:solidFill>
            <a:ln>
              <a:noFill/>
            </a:ln>
            <a:effectLst/>
          </c:spPr>
          <c:invertIfNegative val="0"/>
          <c:cat>
            <c:strRef>
              <c:f>Analysis!$K$2:$K$7</c:f>
              <c:strCache>
                <c:ptCount val="5"/>
                <c:pt idx="0">
                  <c:v>Machine Belt</c:v>
                </c:pt>
                <c:pt idx="1">
                  <c:v>Stretch Film</c:v>
                </c:pt>
                <c:pt idx="2">
                  <c:v>Barcode Label Roll</c:v>
                </c:pt>
                <c:pt idx="3">
                  <c:v>Safety Shoes</c:v>
                </c:pt>
                <c:pt idx="4">
                  <c:v>LED Work Light</c:v>
                </c:pt>
              </c:strCache>
            </c:strRef>
          </c:cat>
          <c:val>
            <c:numRef>
              <c:f>Analysis!$L$2:$L$7</c:f>
              <c:numCache>
                <c:formatCode>General</c:formatCode>
                <c:ptCount val="5"/>
                <c:pt idx="0">
                  <c:v>7202</c:v>
                </c:pt>
                <c:pt idx="1">
                  <c:v>6729</c:v>
                </c:pt>
                <c:pt idx="2">
                  <c:v>6550</c:v>
                </c:pt>
                <c:pt idx="3">
                  <c:v>5918</c:v>
                </c:pt>
                <c:pt idx="4">
                  <c:v>5813</c:v>
                </c:pt>
              </c:numCache>
            </c:numRef>
          </c:val>
          <c:extLst>
            <c:ext xmlns:c16="http://schemas.microsoft.com/office/drawing/2014/chart" uri="{C3380CC4-5D6E-409C-BE32-E72D297353CC}">
              <c16:uniqueId val="{00000000-7BCF-47E8-98FC-7B5893FA4E20}"/>
            </c:ext>
          </c:extLst>
        </c:ser>
        <c:dLbls>
          <c:showLegendKey val="0"/>
          <c:showVal val="0"/>
          <c:showCatName val="0"/>
          <c:showSerName val="0"/>
          <c:showPercent val="0"/>
          <c:showBubbleSize val="0"/>
        </c:dLbls>
        <c:gapWidth val="182"/>
        <c:axId val="1416465840"/>
        <c:axId val="1084433104"/>
      </c:barChart>
      <c:catAx>
        <c:axId val="141646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433104"/>
        <c:crosses val="autoZero"/>
        <c:auto val="1"/>
        <c:lblAlgn val="ctr"/>
        <c:lblOffset val="100"/>
        <c:noMultiLvlLbl val="0"/>
      </c:catAx>
      <c:valAx>
        <c:axId val="1084433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6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0</xdr:rowOff>
    </xdr:from>
    <xdr:to>
      <xdr:col>6</xdr:col>
      <xdr:colOff>9524</xdr:colOff>
      <xdr:row>21</xdr:row>
      <xdr:rowOff>171450</xdr:rowOff>
    </xdr:to>
    <xdr:graphicFrame macro="">
      <xdr:nvGraphicFramePr>
        <xdr:cNvPr id="2" name="Chart 1">
          <a:extLst>
            <a:ext uri="{FF2B5EF4-FFF2-40B4-BE49-F238E27FC236}">
              <a16:creationId xmlns:a16="http://schemas.microsoft.com/office/drawing/2014/main" id="{33D9E1E5-1298-4AD9-8586-00D6A4CE0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7</xdr:row>
      <xdr:rowOff>0</xdr:rowOff>
    </xdr:from>
    <xdr:to>
      <xdr:col>12</xdr:col>
      <xdr:colOff>19050</xdr:colOff>
      <xdr:row>22</xdr:row>
      <xdr:rowOff>28575</xdr:rowOff>
    </xdr:to>
    <xdr:graphicFrame macro="">
      <xdr:nvGraphicFramePr>
        <xdr:cNvPr id="3" name="Chart 2">
          <a:extLst>
            <a:ext uri="{FF2B5EF4-FFF2-40B4-BE49-F238E27FC236}">
              <a16:creationId xmlns:a16="http://schemas.microsoft.com/office/drawing/2014/main" id="{54A6F049-5575-4EDD-92C0-A9220A53C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0</xdr:rowOff>
    </xdr:from>
    <xdr:to>
      <xdr:col>12</xdr:col>
      <xdr:colOff>19050</xdr:colOff>
      <xdr:row>37</xdr:row>
      <xdr:rowOff>123825</xdr:rowOff>
    </xdr:to>
    <xdr:graphicFrame macro="">
      <xdr:nvGraphicFramePr>
        <xdr:cNvPr id="4" name="Chart 3">
          <a:extLst>
            <a:ext uri="{FF2B5EF4-FFF2-40B4-BE49-F238E27FC236}">
              <a16:creationId xmlns:a16="http://schemas.microsoft.com/office/drawing/2014/main" id="{96D4A0CC-3E77-4953-A2EC-18A1DE082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104775</xdr:colOff>
      <xdr:row>2</xdr:row>
      <xdr:rowOff>180975</xdr:rowOff>
    </xdr:from>
    <xdr:to>
      <xdr:col>14</xdr:col>
      <xdr:colOff>561975</xdr:colOff>
      <xdr:row>16</xdr:row>
      <xdr:rowOff>133350</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5A9D2BE9-0B8F-471E-B4B2-8E6E7BBE94B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334375" y="542925"/>
              <a:ext cx="1828800" cy="25241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19050</xdr:colOff>
      <xdr:row>2</xdr:row>
      <xdr:rowOff>171450</xdr:rowOff>
    </xdr:from>
    <xdr:to>
      <xdr:col>17</xdr:col>
      <xdr:colOff>476250</xdr:colOff>
      <xdr:row>16</xdr:row>
      <xdr:rowOff>123825</xdr:rowOff>
    </xdr:to>
    <mc:AlternateContent xmlns:mc="http://schemas.openxmlformats.org/markup-compatibility/2006">
      <mc:Choice xmlns:a14="http://schemas.microsoft.com/office/drawing/2010/main" Requires="a14">
        <xdr:graphicFrame macro="">
          <xdr:nvGraphicFramePr>
            <xdr:cNvPr id="6" name="Warehouse">
              <a:extLst>
                <a:ext uri="{FF2B5EF4-FFF2-40B4-BE49-F238E27FC236}">
                  <a16:creationId xmlns:a16="http://schemas.microsoft.com/office/drawing/2014/main" id="{203462A9-E932-470C-8A95-1AFC25FA4F07}"/>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dr:sp macro="" textlink="">
          <xdr:nvSpPr>
            <xdr:cNvPr id="0" name=""/>
            <xdr:cNvSpPr>
              <a:spLocks noTextEdit="1"/>
            </xdr:cNvSpPr>
          </xdr:nvSpPr>
          <xdr:spPr>
            <a:xfrm>
              <a:off x="10306050" y="533400"/>
              <a:ext cx="1828800" cy="2524125"/>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300.133737037038" createdVersion="8" refreshedVersion="8" minRefreshableVersion="3" recordCount="999" xr:uid="{A50F8102-1C59-458B-9C4F-D870D272F4C8}">
  <cacheSource type="worksheet">
    <worksheetSource name="WarehouseRawData"/>
  </cacheSource>
  <cacheFields count="13">
    <cacheField name="Transaction_ID" numFmtId="0">
      <sharedItems/>
    </cacheField>
    <cacheField name="Date" numFmtId="164">
      <sharedItems containsSemiMixedTypes="0" containsNonDate="0" containsDate="1" containsString="0" minDate="2026-01-01T00:00:00" maxDate="2026-10-01T00:00:00"/>
    </cacheField>
    <cacheField name="Product_ID" numFmtId="0">
      <sharedItems/>
    </cacheField>
    <cacheField name="Product_Name" numFmtId="0">
      <sharedItems count="20">
        <s v="Cable Tie"/>
        <s v="Hydraulic Hose"/>
        <s v="Pallet Wrap"/>
        <s v="Packaging Box"/>
        <s v="Storage Bin"/>
        <s v="Safety Vest"/>
        <s v="Safety Shoes"/>
        <s v="Stretch Film"/>
        <s v="Barcode Label Roll"/>
        <s v="Electrical Relay"/>
        <s v="Hand Pallet Truck Wheel"/>
        <s v="Industrial Sensor"/>
        <s v="Machine Belt"/>
        <s v="LED Work Light"/>
        <s v="Packing Tape"/>
        <s v="Safety Gloves"/>
        <s v="Safety Helmet"/>
        <s v="Industrial Bearing"/>
        <s v="Motor Coupling"/>
        <s v="Plastic Pallet"/>
      </sharedItems>
    </cacheField>
    <cacheField name="Category" numFmtId="0">
      <sharedItems count="5">
        <s v="Electrical"/>
        <s v="Mechanical"/>
        <s v="Packaging"/>
        <s v="Material Handling"/>
        <s v="Safety"/>
      </sharedItems>
    </cacheField>
    <cacheField name="Supplier" numFmtId="0">
      <sharedItems/>
    </cacheField>
    <cacheField name="Opening_Stock" numFmtId="0">
      <sharedItems containsSemiMixedTypes="0" containsString="0" containsNumber="1" containsInteger="1" minValue="20" maxValue="500"/>
    </cacheField>
    <cacheField name="Quantity_Received" numFmtId="0">
      <sharedItems containsSemiMixedTypes="0" containsString="0" containsNumber="1" containsInteger="1" minValue="0" maxValue="180"/>
    </cacheField>
    <cacheField name="Quantity_Issued" numFmtId="0">
      <sharedItems containsSemiMixedTypes="0" containsString="0" containsNumber="1" containsInteger="1" minValue="0" maxValue="220" count="219">
        <n v="39"/>
        <n v="91"/>
        <n v="137"/>
        <n v="158"/>
        <n v="11"/>
        <n v="97"/>
        <n v="53"/>
        <n v="41"/>
        <n v="215"/>
        <n v="102"/>
        <n v="127"/>
        <n v="63"/>
        <n v="14"/>
        <n v="152"/>
        <n v="174"/>
        <n v="40"/>
        <n v="129"/>
        <n v="153"/>
        <n v="61"/>
        <n v="208"/>
        <n v="140"/>
        <n v="193"/>
        <n v="95"/>
        <n v="16"/>
        <n v="1"/>
        <n v="55"/>
        <n v="54"/>
        <n v="206"/>
        <n v="105"/>
        <n v="86"/>
        <n v="114"/>
        <n v="113"/>
        <n v="214"/>
        <n v="123"/>
        <n v="99"/>
        <n v="169"/>
        <n v="138"/>
        <n v="128"/>
        <n v="217"/>
        <n v="145"/>
        <n v="149"/>
        <n v="2"/>
        <n v="141"/>
        <n v="27"/>
        <n v="183"/>
        <n v="216"/>
        <n v="21"/>
        <n v="38"/>
        <n v="10"/>
        <n v="170"/>
        <n v="89"/>
        <n v="45"/>
        <n v="88"/>
        <n v="147"/>
        <n v="175"/>
        <n v="77"/>
        <n v="201"/>
        <n v="172"/>
        <n v="57"/>
        <n v="156"/>
        <n v="37"/>
        <n v="132"/>
        <n v="205"/>
        <n v="190"/>
        <n v="70"/>
        <n v="19"/>
        <n v="20"/>
        <n v="52"/>
        <n v="69"/>
        <n v="204"/>
        <n v="6"/>
        <n v="109"/>
        <n v="83"/>
        <n v="64"/>
        <n v="166"/>
        <n v="5"/>
        <n v="144"/>
        <n v="155"/>
        <n v="148"/>
        <n v="125"/>
        <n v="187"/>
        <n v="211"/>
        <n v="71"/>
        <n v="126"/>
        <n v="87"/>
        <n v="165"/>
        <n v="103"/>
        <n v="135"/>
        <n v="116"/>
        <n v="80"/>
        <n v="32"/>
        <n v="163"/>
        <n v="120"/>
        <n v="29"/>
        <n v="15"/>
        <n v="67"/>
        <n v="59"/>
        <n v="139"/>
        <n v="119"/>
        <n v="154"/>
        <n v="210"/>
        <n v="23"/>
        <n v="219"/>
        <n v="82"/>
        <n v="118"/>
        <n v="160"/>
        <n v="73"/>
        <n v="213"/>
        <n v="106"/>
        <n v="98"/>
        <n v="72"/>
        <n v="48"/>
        <n v="25"/>
        <n v="3"/>
        <n v="60"/>
        <n v="194"/>
        <n v="7"/>
        <n v="36"/>
        <n v="50"/>
        <n v="101"/>
        <n v="198"/>
        <n v="212"/>
        <n v="93"/>
        <n v="94"/>
        <n v="8"/>
        <n v="164"/>
        <n v="84"/>
        <n v="33"/>
        <n v="56"/>
        <n v="58"/>
        <n v="121"/>
        <n v="79"/>
        <n v="146"/>
        <n v="81"/>
        <n v="12"/>
        <n v="28"/>
        <n v="78"/>
        <n v="180"/>
        <n v="111"/>
        <n v="181"/>
        <n v="162"/>
        <n v="17"/>
        <n v="90"/>
        <n v="173"/>
        <n v="142"/>
        <n v="108"/>
        <n v="46"/>
        <n v="107"/>
        <n v="13"/>
        <n v="85"/>
        <n v="178"/>
        <n v="74"/>
        <n v="47"/>
        <n v="161"/>
        <n v="131"/>
        <n v="186"/>
        <n v="202"/>
        <n v="195"/>
        <n v="31"/>
        <n v="110"/>
        <n v="42"/>
        <n v="115"/>
        <n v="49"/>
        <n v="189"/>
        <n v="136"/>
        <n v="62"/>
        <n v="143"/>
        <n v="44"/>
        <n v="176"/>
        <n v="209"/>
        <n v="197"/>
        <n v="122"/>
        <n v="196"/>
        <n v="134"/>
        <n v="207"/>
        <n v="191"/>
        <n v="151"/>
        <n v="96"/>
        <n v="76"/>
        <n v="185"/>
        <n v="43"/>
        <n v="4"/>
        <n v="68"/>
        <n v="182"/>
        <n v="112"/>
        <n v="51"/>
        <n v="35"/>
        <n v="179"/>
        <n v="203"/>
        <n v="100"/>
        <n v="220"/>
        <n v="150"/>
        <n v="177"/>
        <n v="0"/>
        <n v="75"/>
        <n v="22"/>
        <n v="130"/>
        <n v="65"/>
        <n v="168"/>
        <n v="9"/>
        <n v="18"/>
        <n v="26"/>
        <n v="184"/>
        <n v="199"/>
        <n v="104"/>
        <n v="218"/>
        <n v="133"/>
        <n v="66"/>
        <n v="167"/>
        <n v="34"/>
        <n v="30"/>
        <n v="171"/>
        <n v="117"/>
        <n v="157"/>
        <n v="188"/>
        <n v="24"/>
        <n v="124"/>
        <n v="192"/>
        <n v="92"/>
      </sharedItems>
    </cacheField>
    <cacheField name="Closing_Stock" numFmtId="0">
      <sharedItems containsSemiMixedTypes="0" containsString="0" containsNumber="1" containsInteger="1" minValue="0" maxValue="641"/>
    </cacheField>
    <cacheField name="Unit_Cost_RM" numFmtId="4">
      <sharedItems containsSemiMixedTypes="0" containsString="0" containsNumber="1" minValue="4.43" maxValue="270.13"/>
    </cacheField>
    <cacheField name="Inventory_Value_RM" numFmtId="4">
      <sharedItems containsSemiMixedTypes="0" containsString="0" containsNumber="1" minValue="0" maxValue="134389.81"/>
    </cacheField>
    <cacheField name="Warehouse" numFmtId="0">
      <sharedItems count="3">
        <s v="Kedah Warehouse"/>
        <s v="Selangor Warehouse"/>
        <s v="Johor Warehouse"/>
      </sharedItems>
    </cacheField>
  </cacheFields>
  <extLst>
    <ext xmlns:x14="http://schemas.microsoft.com/office/spreadsheetml/2009/9/main" uri="{725AE2AE-9491-48be-B2B4-4EB974FC3084}">
      <x14:pivotCacheDefinition pivotCacheId="827537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s v="TXN0001"/>
    <d v="2026-08-05T00:00:00"/>
    <s v="P006"/>
    <x v="0"/>
    <x v="0"/>
    <s v="Mega Electric"/>
    <n v="194"/>
    <n v="71"/>
    <x v="0"/>
    <n v="226"/>
    <n v="181.77"/>
    <n v="41080.019999999997"/>
    <x v="0"/>
  </r>
  <r>
    <s v="TXN0002"/>
    <d v="2026-02-17T00:00:00"/>
    <s v="P004"/>
    <x v="1"/>
    <x v="1"/>
    <s v="Maju Industrial"/>
    <n v="214"/>
    <n v="24"/>
    <x v="1"/>
    <n v="147"/>
    <n v="68.430000000000007"/>
    <n v="10059.209999999999"/>
    <x v="1"/>
  </r>
  <r>
    <s v="TXN0003"/>
    <d v="2026-01-23T00:00:00"/>
    <s v="P009"/>
    <x v="2"/>
    <x v="2"/>
    <s v="Johor Packaging"/>
    <n v="393"/>
    <n v="117"/>
    <x v="2"/>
    <n v="373"/>
    <n v="112.68"/>
    <n v="42029.64"/>
    <x v="0"/>
  </r>
  <r>
    <s v="TXN0004"/>
    <d v="2026-05-31T00:00:00"/>
    <s v="P003"/>
    <x v="3"/>
    <x v="2"/>
    <s v="PackRight Trading"/>
    <n v="444"/>
    <n v="160"/>
    <x v="3"/>
    <n v="446"/>
    <n v="84.07"/>
    <n v="37495.22"/>
    <x v="0"/>
  </r>
  <r>
    <s v="TXN0005"/>
    <d v="2026-04-09T00:00:00"/>
    <s v="P019"/>
    <x v="4"/>
    <x v="3"/>
    <s v="LogiEquip"/>
    <n v="380"/>
    <n v="17"/>
    <x v="4"/>
    <n v="386"/>
    <n v="233.07"/>
    <n v="89965.02"/>
    <x v="0"/>
  </r>
  <r>
    <s v="TXN0006"/>
    <d v="2026-04-30T00:00:00"/>
    <s v="P003"/>
    <x v="3"/>
    <x v="2"/>
    <s v="PackRight Trading"/>
    <n v="463"/>
    <n v="25"/>
    <x v="5"/>
    <n v="391"/>
    <n v="76.37"/>
    <n v="29860.67"/>
    <x v="1"/>
  </r>
  <r>
    <s v="TXN0007"/>
    <d v="2026-03-25T00:00:00"/>
    <s v="P012"/>
    <x v="5"/>
    <x v="4"/>
    <s v="SafePro Supplies"/>
    <n v="209"/>
    <n v="90"/>
    <x v="6"/>
    <n v="246"/>
    <n v="146.88"/>
    <n v="36132.480000000003"/>
    <x v="1"/>
  </r>
  <r>
    <s v="TXN0008"/>
    <d v="2026-03-29T00:00:00"/>
    <s v="P003"/>
    <x v="3"/>
    <x v="2"/>
    <s v="PackRight Trading"/>
    <n v="293"/>
    <n v="62"/>
    <x v="7"/>
    <n v="314"/>
    <n v="78.7"/>
    <n v="24711.8"/>
    <x v="0"/>
  </r>
  <r>
    <s v="TXN0009"/>
    <d v="2026-04-23T00:00:00"/>
    <s v="P018"/>
    <x v="6"/>
    <x v="4"/>
    <s v="SafePro Supplies"/>
    <n v="370"/>
    <n v="83"/>
    <x v="8"/>
    <n v="238"/>
    <n v="173.36"/>
    <n v="41259.68"/>
    <x v="2"/>
  </r>
  <r>
    <s v="TXN0010"/>
    <d v="2026-01-17T00:00:00"/>
    <s v="P008"/>
    <x v="7"/>
    <x v="2"/>
    <s v="PackRight Trading"/>
    <n v="432"/>
    <n v="80"/>
    <x v="9"/>
    <n v="410"/>
    <n v="26.08"/>
    <n v="10692.8"/>
    <x v="2"/>
  </r>
  <r>
    <s v="TXN0011"/>
    <d v="2026-06-11T00:00:00"/>
    <s v="P019"/>
    <x v="4"/>
    <x v="3"/>
    <s v="LogiEquip"/>
    <n v="128"/>
    <n v="167"/>
    <x v="10"/>
    <n v="168"/>
    <n v="223.42"/>
    <n v="37534.559999999998"/>
    <x v="1"/>
  </r>
  <r>
    <s v="TXN0012"/>
    <d v="2026-03-15T00:00:00"/>
    <s v="P015"/>
    <x v="8"/>
    <x v="2"/>
    <s v="Johor Packaging"/>
    <n v="155"/>
    <n v="35"/>
    <x v="11"/>
    <n v="127"/>
    <n v="190.19"/>
    <n v="24154.13"/>
    <x v="1"/>
  </r>
  <r>
    <s v="TXN0013"/>
    <d v="2026-08-08T00:00:00"/>
    <s v="P009"/>
    <x v="2"/>
    <x v="2"/>
    <s v="Johor Packaging"/>
    <n v="479"/>
    <n v="149"/>
    <x v="9"/>
    <n v="526"/>
    <n v="117.23"/>
    <n v="61662.98"/>
    <x v="2"/>
  </r>
  <r>
    <s v="TXN0014"/>
    <d v="2026-09-10T00:00:00"/>
    <s v="P017"/>
    <x v="9"/>
    <x v="0"/>
    <s v="Mega Electric"/>
    <n v="66"/>
    <n v="12"/>
    <x v="12"/>
    <n v="64"/>
    <n v="60.5"/>
    <n v="3872"/>
    <x v="2"/>
  </r>
  <r>
    <s v="TXN0015"/>
    <d v="2026-02-02T00:00:00"/>
    <s v="P014"/>
    <x v="10"/>
    <x v="3"/>
    <s v="LogiEquip"/>
    <n v="217"/>
    <n v="97"/>
    <x v="13"/>
    <n v="162"/>
    <n v="62.69"/>
    <n v="10155.780000000001"/>
    <x v="1"/>
  </r>
  <r>
    <s v="TXN0016"/>
    <d v="2026-01-06T00:00:00"/>
    <s v="P009"/>
    <x v="2"/>
    <x v="2"/>
    <s v="Johor Packaging"/>
    <n v="368"/>
    <n v="29"/>
    <x v="14"/>
    <n v="223"/>
    <n v="127.25"/>
    <n v="28376.75"/>
    <x v="0"/>
  </r>
  <r>
    <s v="TXN0017"/>
    <d v="2026-02-27T00:00:00"/>
    <s v="P011"/>
    <x v="11"/>
    <x v="0"/>
    <s v="TechParts Malaysia"/>
    <n v="170"/>
    <n v="111"/>
    <x v="15"/>
    <n v="241"/>
    <n v="63.09"/>
    <n v="15204.69"/>
    <x v="1"/>
  </r>
  <r>
    <s v="TXN0018"/>
    <d v="2026-09-14T00:00:00"/>
    <s v="P009"/>
    <x v="2"/>
    <x v="2"/>
    <s v="Johor Packaging"/>
    <n v="410"/>
    <n v="45"/>
    <x v="16"/>
    <n v="326"/>
    <n v="127.79"/>
    <n v="41659.54"/>
    <x v="1"/>
  </r>
  <r>
    <s v="TXN0019"/>
    <d v="2026-09-17T00:00:00"/>
    <s v="P010"/>
    <x v="12"/>
    <x v="1"/>
    <s v="TechParts Malaysia"/>
    <n v="331"/>
    <n v="50"/>
    <x v="0"/>
    <n v="342"/>
    <n v="11.03"/>
    <n v="3772.26"/>
    <x v="2"/>
  </r>
  <r>
    <s v="TXN0020"/>
    <d v="2026-09-29T00:00:00"/>
    <s v="P018"/>
    <x v="6"/>
    <x v="4"/>
    <s v="SafePro Supplies"/>
    <n v="490"/>
    <n v="0"/>
    <x v="17"/>
    <n v="337"/>
    <n v="161.55000000000001"/>
    <n v="54442.35"/>
    <x v="2"/>
  </r>
  <r>
    <s v="TXN0021"/>
    <d v="2026-07-05T00:00:00"/>
    <s v="P004"/>
    <x v="1"/>
    <x v="1"/>
    <s v="Maju Industrial"/>
    <n v="469"/>
    <n v="78"/>
    <x v="18"/>
    <n v="486"/>
    <n v="60.24"/>
    <n v="29276.639999999999"/>
    <x v="1"/>
  </r>
  <r>
    <s v="TXN0022"/>
    <d v="2026-02-13T00:00:00"/>
    <s v="P003"/>
    <x v="3"/>
    <x v="2"/>
    <s v="PackRight Trading"/>
    <n v="394"/>
    <n v="124"/>
    <x v="19"/>
    <n v="310"/>
    <n v="73.73"/>
    <n v="22856.3"/>
    <x v="1"/>
  </r>
  <r>
    <s v="TXN0023"/>
    <d v="2026-03-07T00:00:00"/>
    <s v="P005"/>
    <x v="13"/>
    <x v="0"/>
    <s v="Mega Electric"/>
    <n v="357"/>
    <n v="121"/>
    <x v="20"/>
    <n v="338"/>
    <n v="195.91"/>
    <n v="66217.58"/>
    <x v="1"/>
  </r>
  <r>
    <s v="TXN0024"/>
    <d v="2026-08-05T00:00:00"/>
    <s v="P020"/>
    <x v="14"/>
    <x v="2"/>
    <s v="PackRight Trading"/>
    <n v="128"/>
    <n v="138"/>
    <x v="21"/>
    <n v="73"/>
    <n v="4.9800000000000004"/>
    <n v="363.54"/>
    <x v="2"/>
  </r>
  <r>
    <s v="TXN0025"/>
    <d v="2026-07-24T00:00:00"/>
    <s v="P010"/>
    <x v="12"/>
    <x v="1"/>
    <s v="TechParts Malaysia"/>
    <n v="363"/>
    <n v="166"/>
    <x v="22"/>
    <n v="434"/>
    <n v="11.14"/>
    <n v="4834.76"/>
    <x v="1"/>
  </r>
  <r>
    <s v="TXN0026"/>
    <d v="2026-03-03T00:00:00"/>
    <s v="P015"/>
    <x v="8"/>
    <x v="2"/>
    <s v="Johor Packaging"/>
    <n v="146"/>
    <n v="57"/>
    <x v="23"/>
    <n v="187"/>
    <n v="178.28"/>
    <n v="33338.36"/>
    <x v="1"/>
  </r>
  <r>
    <s v="TXN0027"/>
    <d v="2026-04-28T00:00:00"/>
    <s v="P018"/>
    <x v="6"/>
    <x v="4"/>
    <s v="SafePro Supplies"/>
    <n v="321"/>
    <n v="56"/>
    <x v="24"/>
    <n v="376"/>
    <n v="154.82"/>
    <n v="58212.32"/>
    <x v="1"/>
  </r>
  <r>
    <s v="TXN0028"/>
    <d v="2026-04-28T00:00:00"/>
    <s v="P002"/>
    <x v="15"/>
    <x v="4"/>
    <s v="SafePro Supplies"/>
    <n v="54"/>
    <n v="8"/>
    <x v="25"/>
    <n v="7"/>
    <n v="9.66"/>
    <n v="67.62"/>
    <x v="1"/>
  </r>
  <r>
    <s v="TXN0029"/>
    <d v="2026-05-23T00:00:00"/>
    <s v="P008"/>
    <x v="7"/>
    <x v="2"/>
    <s v="PackRight Trading"/>
    <n v="362"/>
    <n v="124"/>
    <x v="26"/>
    <n v="432"/>
    <n v="27.25"/>
    <n v="11772"/>
    <x v="1"/>
  </r>
  <r>
    <s v="TXN0030"/>
    <d v="2026-08-31T00:00:00"/>
    <s v="P019"/>
    <x v="4"/>
    <x v="3"/>
    <s v="LogiEquip"/>
    <n v="144"/>
    <n v="121"/>
    <x v="27"/>
    <n v="59"/>
    <n v="223.83"/>
    <n v="13205.97"/>
    <x v="2"/>
  </r>
  <r>
    <s v="TXN0031"/>
    <d v="2026-08-09T00:00:00"/>
    <s v="P004"/>
    <x v="1"/>
    <x v="1"/>
    <s v="Maju Industrial"/>
    <n v="201"/>
    <n v="108"/>
    <x v="28"/>
    <n v="204"/>
    <n v="64.489999999999995"/>
    <n v="13155.96"/>
    <x v="1"/>
  </r>
  <r>
    <s v="TXN0032"/>
    <d v="2026-02-20T00:00:00"/>
    <s v="P002"/>
    <x v="15"/>
    <x v="4"/>
    <s v="SafePro Supplies"/>
    <n v="51"/>
    <n v="103"/>
    <x v="29"/>
    <n v="68"/>
    <n v="10.41"/>
    <n v="707.88"/>
    <x v="2"/>
  </r>
  <r>
    <s v="TXN0033"/>
    <d v="2026-04-09T00:00:00"/>
    <s v="P008"/>
    <x v="7"/>
    <x v="2"/>
    <s v="PackRight Trading"/>
    <n v="117"/>
    <n v="137"/>
    <x v="30"/>
    <n v="140"/>
    <n v="25.52"/>
    <n v="3572.8"/>
    <x v="2"/>
  </r>
  <r>
    <s v="TXN0034"/>
    <d v="2026-08-25T00:00:00"/>
    <s v="P009"/>
    <x v="2"/>
    <x v="2"/>
    <s v="Johor Packaging"/>
    <n v="147"/>
    <n v="19"/>
    <x v="31"/>
    <n v="53"/>
    <n v="125.78"/>
    <n v="6666.34"/>
    <x v="1"/>
  </r>
  <r>
    <s v="TXN0035"/>
    <d v="2026-01-26T00:00:00"/>
    <s v="P004"/>
    <x v="1"/>
    <x v="1"/>
    <s v="Maju Industrial"/>
    <n v="353"/>
    <n v="138"/>
    <x v="32"/>
    <n v="277"/>
    <n v="59.8"/>
    <n v="16564.599999999999"/>
    <x v="2"/>
  </r>
  <r>
    <s v="TXN0036"/>
    <d v="2026-03-27T00:00:00"/>
    <s v="P008"/>
    <x v="7"/>
    <x v="2"/>
    <s v="PackRight Trading"/>
    <n v="228"/>
    <n v="124"/>
    <x v="33"/>
    <n v="229"/>
    <n v="25.84"/>
    <n v="5917.36"/>
    <x v="0"/>
  </r>
  <r>
    <s v="TXN0037"/>
    <d v="2026-03-26T00:00:00"/>
    <s v="P002"/>
    <x v="15"/>
    <x v="4"/>
    <s v="SafePro Supplies"/>
    <n v="214"/>
    <n v="0"/>
    <x v="34"/>
    <n v="115"/>
    <n v="9.56"/>
    <n v="1099.4000000000001"/>
    <x v="0"/>
  </r>
  <r>
    <s v="TXN0038"/>
    <d v="2026-08-05T00:00:00"/>
    <s v="P010"/>
    <x v="12"/>
    <x v="1"/>
    <s v="TechParts Malaysia"/>
    <n v="376"/>
    <n v="142"/>
    <x v="35"/>
    <n v="349"/>
    <n v="11.65"/>
    <n v="4065.85"/>
    <x v="2"/>
  </r>
  <r>
    <s v="TXN0039"/>
    <d v="2026-06-01T00:00:00"/>
    <s v="P007"/>
    <x v="16"/>
    <x v="4"/>
    <s v="SafePro Supplies"/>
    <n v="131"/>
    <n v="14"/>
    <x v="36"/>
    <n v="7"/>
    <n v="232.56"/>
    <n v="1627.92"/>
    <x v="0"/>
  </r>
  <r>
    <s v="TXN0040"/>
    <d v="2026-01-26T00:00:00"/>
    <s v="P002"/>
    <x v="15"/>
    <x v="4"/>
    <s v="SafePro Supplies"/>
    <n v="319"/>
    <n v="122"/>
    <x v="37"/>
    <n v="313"/>
    <n v="10.59"/>
    <n v="3314.67"/>
    <x v="1"/>
  </r>
  <r>
    <s v="TXN0041"/>
    <d v="2026-01-30T00:00:00"/>
    <s v="P006"/>
    <x v="0"/>
    <x v="0"/>
    <s v="Mega Electric"/>
    <n v="280"/>
    <n v="20"/>
    <x v="38"/>
    <n v="83"/>
    <n v="180.87"/>
    <n v="15012.21"/>
    <x v="1"/>
  </r>
  <r>
    <s v="TXN0042"/>
    <d v="2026-05-01T00:00:00"/>
    <s v="P003"/>
    <x v="3"/>
    <x v="2"/>
    <s v="PackRight Trading"/>
    <n v="226"/>
    <n v="30"/>
    <x v="39"/>
    <n v="111"/>
    <n v="75.97"/>
    <n v="8432.67"/>
    <x v="1"/>
  </r>
  <r>
    <s v="TXN0043"/>
    <d v="2026-02-11T00:00:00"/>
    <s v="P002"/>
    <x v="15"/>
    <x v="4"/>
    <s v="SafePro Supplies"/>
    <n v="234"/>
    <n v="168"/>
    <x v="40"/>
    <n v="253"/>
    <n v="10.029999999999999"/>
    <n v="2537.59"/>
    <x v="0"/>
  </r>
  <r>
    <s v="TXN0044"/>
    <d v="2026-04-15T00:00:00"/>
    <s v="P009"/>
    <x v="2"/>
    <x v="2"/>
    <s v="Johor Packaging"/>
    <n v="362"/>
    <n v="80"/>
    <x v="18"/>
    <n v="381"/>
    <n v="115.38"/>
    <n v="43959.78"/>
    <x v="2"/>
  </r>
  <r>
    <s v="TXN0045"/>
    <d v="2026-08-23T00:00:00"/>
    <s v="P010"/>
    <x v="12"/>
    <x v="1"/>
    <s v="TechParts Malaysia"/>
    <n v="181"/>
    <n v="18"/>
    <x v="41"/>
    <n v="197"/>
    <n v="11.18"/>
    <n v="2202.46"/>
    <x v="1"/>
  </r>
  <r>
    <s v="TXN0046"/>
    <d v="2026-02-07T00:00:00"/>
    <s v="P004"/>
    <x v="1"/>
    <x v="1"/>
    <s v="Maju Industrial"/>
    <n v="295"/>
    <n v="54"/>
    <x v="16"/>
    <n v="220"/>
    <n v="62.39"/>
    <n v="13725.8"/>
    <x v="0"/>
  </r>
  <r>
    <s v="TXN0047"/>
    <d v="2026-05-06T00:00:00"/>
    <s v="P003"/>
    <x v="3"/>
    <x v="2"/>
    <s v="PackRight Trading"/>
    <n v="209"/>
    <n v="72"/>
    <x v="15"/>
    <n v="241"/>
    <n v="78.400000000000006"/>
    <n v="18894.400000000001"/>
    <x v="1"/>
  </r>
  <r>
    <s v="TXN0048"/>
    <d v="2026-09-28T00:00:00"/>
    <s v="P010"/>
    <x v="12"/>
    <x v="1"/>
    <s v="TechParts Malaysia"/>
    <n v="24"/>
    <n v="170"/>
    <x v="42"/>
    <n v="53"/>
    <n v="10.89"/>
    <n v="577.16999999999996"/>
    <x v="1"/>
  </r>
  <r>
    <s v="TXN0049"/>
    <d v="2026-03-10T00:00:00"/>
    <s v="P004"/>
    <x v="1"/>
    <x v="1"/>
    <s v="Maju Industrial"/>
    <n v="155"/>
    <n v="29"/>
    <x v="43"/>
    <n v="157"/>
    <n v="67.34"/>
    <n v="10572.38"/>
    <x v="2"/>
  </r>
  <r>
    <s v="TXN0050"/>
    <d v="2026-05-25T00:00:00"/>
    <s v="P009"/>
    <x v="2"/>
    <x v="2"/>
    <s v="Johor Packaging"/>
    <n v="329"/>
    <n v="53"/>
    <x v="44"/>
    <n v="199"/>
    <n v="116.86"/>
    <n v="23255.14"/>
    <x v="1"/>
  </r>
  <r>
    <s v="TXN0051"/>
    <d v="2026-09-16T00:00:00"/>
    <s v="P009"/>
    <x v="2"/>
    <x v="2"/>
    <s v="Johor Packaging"/>
    <n v="270"/>
    <n v="64"/>
    <x v="45"/>
    <n v="118"/>
    <n v="111.26"/>
    <n v="13128.68"/>
    <x v="1"/>
  </r>
  <r>
    <s v="TXN0052"/>
    <d v="2026-05-22T00:00:00"/>
    <s v="P014"/>
    <x v="10"/>
    <x v="3"/>
    <s v="LogiEquip"/>
    <n v="42"/>
    <n v="0"/>
    <x v="46"/>
    <n v="21"/>
    <n v="60.6"/>
    <n v="1272.5999999999999"/>
    <x v="1"/>
  </r>
  <r>
    <s v="TXN0053"/>
    <d v="2026-03-24T00:00:00"/>
    <s v="P009"/>
    <x v="2"/>
    <x v="2"/>
    <s v="Johor Packaging"/>
    <n v="399"/>
    <n v="113"/>
    <x v="42"/>
    <n v="371"/>
    <n v="123.82"/>
    <n v="45937.22"/>
    <x v="1"/>
  </r>
  <r>
    <s v="TXN0054"/>
    <d v="2026-02-27T00:00:00"/>
    <s v="P001"/>
    <x v="17"/>
    <x v="1"/>
    <s v="Maju Industrial"/>
    <n v="58"/>
    <n v="176"/>
    <x v="47"/>
    <n v="196"/>
    <n v="181.44"/>
    <n v="35562.239999999998"/>
    <x v="0"/>
  </r>
  <r>
    <s v="TXN0055"/>
    <d v="2026-03-17T00:00:00"/>
    <s v="P019"/>
    <x v="4"/>
    <x v="3"/>
    <s v="LogiEquip"/>
    <n v="240"/>
    <n v="32"/>
    <x v="48"/>
    <n v="262"/>
    <n v="220.24"/>
    <n v="57702.879999999997"/>
    <x v="2"/>
  </r>
  <r>
    <s v="TXN0056"/>
    <d v="2026-04-18T00:00:00"/>
    <s v="P012"/>
    <x v="5"/>
    <x v="4"/>
    <s v="SafePro Supplies"/>
    <n v="369"/>
    <n v="63"/>
    <x v="49"/>
    <n v="262"/>
    <n v="133.9"/>
    <n v="35081.800000000003"/>
    <x v="1"/>
  </r>
  <r>
    <s v="TXN0057"/>
    <d v="2026-03-21T00:00:00"/>
    <s v="P014"/>
    <x v="10"/>
    <x v="3"/>
    <s v="LogiEquip"/>
    <n v="493"/>
    <n v="60"/>
    <x v="7"/>
    <n v="512"/>
    <n v="62.5"/>
    <n v="32000"/>
    <x v="2"/>
  </r>
  <r>
    <s v="TXN0058"/>
    <d v="2026-01-13T00:00:00"/>
    <s v="P014"/>
    <x v="10"/>
    <x v="3"/>
    <s v="LogiEquip"/>
    <n v="111"/>
    <n v="85"/>
    <x v="28"/>
    <n v="91"/>
    <n v="60.89"/>
    <n v="5540.99"/>
    <x v="1"/>
  </r>
  <r>
    <s v="TXN0059"/>
    <d v="2026-05-17T00:00:00"/>
    <s v="P008"/>
    <x v="7"/>
    <x v="2"/>
    <s v="PackRight Trading"/>
    <n v="101"/>
    <n v="179"/>
    <x v="43"/>
    <n v="253"/>
    <n v="26.57"/>
    <n v="6722.21"/>
    <x v="2"/>
  </r>
  <r>
    <s v="TXN0060"/>
    <d v="2026-04-24T00:00:00"/>
    <s v="P016"/>
    <x v="18"/>
    <x v="1"/>
    <s v="Maju Industrial"/>
    <n v="122"/>
    <n v="117"/>
    <x v="50"/>
    <n v="150"/>
    <n v="149.15"/>
    <n v="22372.5"/>
    <x v="2"/>
  </r>
  <r>
    <s v="TXN0061"/>
    <d v="2026-01-13T00:00:00"/>
    <s v="P008"/>
    <x v="7"/>
    <x v="2"/>
    <s v="PackRight Trading"/>
    <n v="357"/>
    <n v="49"/>
    <x v="9"/>
    <n v="304"/>
    <n v="26.34"/>
    <n v="8007.36"/>
    <x v="2"/>
  </r>
  <r>
    <s v="TXN0062"/>
    <d v="2026-06-29T00:00:00"/>
    <s v="P009"/>
    <x v="2"/>
    <x v="2"/>
    <s v="Johor Packaging"/>
    <n v="348"/>
    <n v="130"/>
    <x v="9"/>
    <n v="376"/>
    <n v="123.32"/>
    <n v="46368.32"/>
    <x v="1"/>
  </r>
  <r>
    <s v="TXN0063"/>
    <d v="2026-01-15T00:00:00"/>
    <s v="P011"/>
    <x v="11"/>
    <x v="0"/>
    <s v="TechParts Malaysia"/>
    <n v="79"/>
    <n v="66"/>
    <x v="51"/>
    <n v="100"/>
    <n v="64.38"/>
    <n v="6438"/>
    <x v="0"/>
  </r>
  <r>
    <s v="TXN0064"/>
    <d v="2026-02-25T00:00:00"/>
    <s v="P002"/>
    <x v="15"/>
    <x v="4"/>
    <s v="SafePro Supplies"/>
    <n v="325"/>
    <n v="111"/>
    <x v="52"/>
    <n v="348"/>
    <n v="10.29"/>
    <n v="3580.92"/>
    <x v="0"/>
  </r>
  <r>
    <s v="TXN0065"/>
    <d v="2026-09-19T00:00:00"/>
    <s v="P014"/>
    <x v="10"/>
    <x v="3"/>
    <s v="LogiEquip"/>
    <n v="79"/>
    <n v="98"/>
    <x v="53"/>
    <n v="30"/>
    <n v="55.2"/>
    <n v="1656"/>
    <x v="2"/>
  </r>
  <r>
    <s v="TXN0066"/>
    <d v="2026-01-01T00:00:00"/>
    <s v="P014"/>
    <x v="10"/>
    <x v="3"/>
    <s v="LogiEquip"/>
    <n v="286"/>
    <n v="137"/>
    <x v="54"/>
    <n v="248"/>
    <n v="60.12"/>
    <n v="14909.76"/>
    <x v="1"/>
  </r>
  <r>
    <s v="TXN0067"/>
    <d v="2026-07-06T00:00:00"/>
    <s v="P007"/>
    <x v="16"/>
    <x v="4"/>
    <s v="SafePro Supplies"/>
    <n v="240"/>
    <n v="17"/>
    <x v="49"/>
    <n v="87"/>
    <n v="266.97000000000003"/>
    <n v="23226.39"/>
    <x v="1"/>
  </r>
  <r>
    <s v="TXN0068"/>
    <d v="2026-03-05T00:00:00"/>
    <s v="P011"/>
    <x v="11"/>
    <x v="0"/>
    <s v="TechParts Malaysia"/>
    <n v="388"/>
    <n v="76"/>
    <x v="16"/>
    <n v="335"/>
    <n v="61.62"/>
    <n v="20642.7"/>
    <x v="0"/>
  </r>
  <r>
    <s v="TXN0069"/>
    <d v="2026-07-26T00:00:00"/>
    <s v="P011"/>
    <x v="11"/>
    <x v="0"/>
    <s v="TechParts Malaysia"/>
    <n v="376"/>
    <n v="75"/>
    <x v="42"/>
    <n v="310"/>
    <n v="59.77"/>
    <n v="18528.7"/>
    <x v="0"/>
  </r>
  <r>
    <s v="TXN0070"/>
    <d v="2026-03-31T00:00:00"/>
    <s v="P013"/>
    <x v="19"/>
    <x v="3"/>
    <s v="LogiEquip"/>
    <n v="335"/>
    <n v="145"/>
    <x v="55"/>
    <n v="403"/>
    <n v="10.19"/>
    <n v="4106.57"/>
    <x v="2"/>
  </r>
  <r>
    <s v="TXN0071"/>
    <d v="2026-05-27T00:00:00"/>
    <s v="P010"/>
    <x v="12"/>
    <x v="1"/>
    <s v="TechParts Malaysia"/>
    <n v="127"/>
    <n v="110"/>
    <x v="56"/>
    <n v="36"/>
    <n v="11.4"/>
    <n v="410.4"/>
    <x v="1"/>
  </r>
  <r>
    <s v="TXN0072"/>
    <d v="2026-08-27T00:00:00"/>
    <s v="P011"/>
    <x v="11"/>
    <x v="0"/>
    <s v="TechParts Malaysia"/>
    <n v="246"/>
    <n v="113"/>
    <x v="57"/>
    <n v="187"/>
    <n v="60.65"/>
    <n v="11341.55"/>
    <x v="0"/>
  </r>
  <r>
    <s v="TXN0073"/>
    <d v="2026-02-13T00:00:00"/>
    <s v="P006"/>
    <x v="0"/>
    <x v="0"/>
    <s v="Mega Electric"/>
    <n v="165"/>
    <n v="131"/>
    <x v="35"/>
    <n v="127"/>
    <n v="194.5"/>
    <n v="24701.5"/>
    <x v="0"/>
  </r>
  <r>
    <s v="TXN0074"/>
    <d v="2026-05-01T00:00:00"/>
    <s v="P003"/>
    <x v="3"/>
    <x v="2"/>
    <s v="PackRight Trading"/>
    <n v="364"/>
    <n v="79"/>
    <x v="58"/>
    <n v="386"/>
    <n v="83.07"/>
    <n v="32065.02"/>
    <x v="2"/>
  </r>
  <r>
    <s v="TXN0075"/>
    <d v="2026-01-24T00:00:00"/>
    <s v="P001"/>
    <x v="17"/>
    <x v="1"/>
    <s v="Maju Industrial"/>
    <n v="145"/>
    <n v="121"/>
    <x v="59"/>
    <n v="110"/>
    <n v="190.2"/>
    <n v="20922"/>
    <x v="2"/>
  </r>
  <r>
    <s v="TXN0076"/>
    <d v="2026-08-01T00:00:00"/>
    <s v="P015"/>
    <x v="8"/>
    <x v="2"/>
    <s v="Johor Packaging"/>
    <n v="473"/>
    <n v="161"/>
    <x v="53"/>
    <n v="487"/>
    <n v="174.07"/>
    <n v="84772.09"/>
    <x v="1"/>
  </r>
  <r>
    <s v="TXN0077"/>
    <d v="2026-09-11T00:00:00"/>
    <s v="P013"/>
    <x v="19"/>
    <x v="3"/>
    <s v="LogiEquip"/>
    <n v="224"/>
    <n v="62"/>
    <x v="60"/>
    <n v="249"/>
    <n v="10.61"/>
    <n v="2641.89"/>
    <x v="2"/>
  </r>
  <r>
    <s v="TXN0078"/>
    <d v="2026-08-06T00:00:00"/>
    <s v="P004"/>
    <x v="1"/>
    <x v="1"/>
    <s v="Maju Industrial"/>
    <n v="132"/>
    <n v="45"/>
    <x v="61"/>
    <n v="45"/>
    <n v="64.459999999999994"/>
    <n v="2900.7"/>
    <x v="1"/>
  </r>
  <r>
    <s v="TXN0079"/>
    <d v="2026-03-04T00:00:00"/>
    <s v="P008"/>
    <x v="7"/>
    <x v="2"/>
    <s v="PackRight Trading"/>
    <n v="253"/>
    <n v="34"/>
    <x v="62"/>
    <n v="82"/>
    <n v="26.93"/>
    <n v="2208.2600000000002"/>
    <x v="1"/>
  </r>
  <r>
    <s v="TXN0080"/>
    <d v="2026-06-12T00:00:00"/>
    <s v="P018"/>
    <x v="6"/>
    <x v="4"/>
    <s v="SafePro Supplies"/>
    <n v="406"/>
    <n v="113"/>
    <x v="59"/>
    <n v="363"/>
    <n v="174.6"/>
    <n v="63379.8"/>
    <x v="1"/>
  </r>
  <r>
    <s v="TXN0081"/>
    <d v="2026-08-17T00:00:00"/>
    <s v="P014"/>
    <x v="10"/>
    <x v="3"/>
    <s v="LogiEquip"/>
    <n v="479"/>
    <n v="40"/>
    <x v="63"/>
    <n v="329"/>
    <n v="61.44"/>
    <n v="20213.759999999998"/>
    <x v="0"/>
  </r>
  <r>
    <s v="TXN0082"/>
    <d v="2026-05-07T00:00:00"/>
    <s v="P009"/>
    <x v="2"/>
    <x v="2"/>
    <s v="Johor Packaging"/>
    <n v="450"/>
    <n v="163"/>
    <x v="64"/>
    <n v="543"/>
    <n v="124.97"/>
    <n v="67858.710000000006"/>
    <x v="1"/>
  </r>
  <r>
    <s v="TXN0083"/>
    <d v="2026-05-03T00:00:00"/>
    <s v="P016"/>
    <x v="18"/>
    <x v="1"/>
    <s v="Maju Industrial"/>
    <n v="160"/>
    <n v="112"/>
    <x v="65"/>
    <n v="253"/>
    <n v="159.21"/>
    <n v="40280.129999999997"/>
    <x v="2"/>
  </r>
  <r>
    <s v="TXN0084"/>
    <d v="2026-06-21T00:00:00"/>
    <s v="P009"/>
    <x v="2"/>
    <x v="2"/>
    <s v="Johor Packaging"/>
    <n v="183"/>
    <n v="138"/>
    <x v="66"/>
    <n v="301"/>
    <n v="112.94"/>
    <n v="33994.94"/>
    <x v="2"/>
  </r>
  <r>
    <s v="TXN0085"/>
    <d v="2026-03-20T00:00:00"/>
    <s v="P013"/>
    <x v="19"/>
    <x v="3"/>
    <s v="LogiEquip"/>
    <n v="381"/>
    <n v="54"/>
    <x v="23"/>
    <n v="419"/>
    <n v="10.210000000000001"/>
    <n v="4277.99"/>
    <x v="0"/>
  </r>
  <r>
    <s v="TXN0086"/>
    <d v="2026-08-27T00:00:00"/>
    <s v="P018"/>
    <x v="6"/>
    <x v="4"/>
    <s v="SafePro Supplies"/>
    <n v="232"/>
    <n v="15"/>
    <x v="67"/>
    <n v="195"/>
    <n v="175.08"/>
    <n v="34140.6"/>
    <x v="0"/>
  </r>
  <r>
    <s v="TXN0087"/>
    <d v="2026-01-11T00:00:00"/>
    <s v="P019"/>
    <x v="4"/>
    <x v="3"/>
    <s v="LogiEquip"/>
    <n v="458"/>
    <n v="147"/>
    <x v="5"/>
    <n v="508"/>
    <n v="226.38"/>
    <n v="115001.04"/>
    <x v="0"/>
  </r>
  <r>
    <s v="TXN0088"/>
    <d v="2026-07-19T00:00:00"/>
    <s v="P010"/>
    <x v="12"/>
    <x v="1"/>
    <s v="TechParts Malaysia"/>
    <n v="456"/>
    <n v="107"/>
    <x v="2"/>
    <n v="426"/>
    <n v="11.7"/>
    <n v="4984.2"/>
    <x v="1"/>
  </r>
  <r>
    <s v="TXN0089"/>
    <d v="2026-04-23T00:00:00"/>
    <s v="P020"/>
    <x v="14"/>
    <x v="2"/>
    <s v="PackRight Trading"/>
    <n v="269"/>
    <n v="56"/>
    <x v="68"/>
    <n v="256"/>
    <n v="4.75"/>
    <n v="1216"/>
    <x v="2"/>
  </r>
  <r>
    <s v="TXN0090"/>
    <d v="2026-06-22T00:00:00"/>
    <s v="P013"/>
    <x v="19"/>
    <x v="3"/>
    <s v="LogiEquip"/>
    <n v="362"/>
    <n v="173"/>
    <x v="69"/>
    <n v="331"/>
    <n v="10.19"/>
    <n v="3372.89"/>
    <x v="2"/>
  </r>
  <r>
    <s v="TXN0091"/>
    <d v="2026-03-07T00:00:00"/>
    <s v="P015"/>
    <x v="8"/>
    <x v="2"/>
    <s v="Johor Packaging"/>
    <n v="338"/>
    <n v="136"/>
    <x v="70"/>
    <n v="468"/>
    <n v="194.93"/>
    <n v="91227.24"/>
    <x v="1"/>
  </r>
  <r>
    <s v="TXN0092"/>
    <d v="2026-01-14T00:00:00"/>
    <s v="P019"/>
    <x v="4"/>
    <x v="3"/>
    <s v="LogiEquip"/>
    <n v="62"/>
    <n v="164"/>
    <x v="71"/>
    <n v="117"/>
    <n v="213.97"/>
    <n v="25034.49"/>
    <x v="0"/>
  </r>
  <r>
    <s v="TXN0093"/>
    <d v="2026-01-26T00:00:00"/>
    <s v="P006"/>
    <x v="0"/>
    <x v="0"/>
    <s v="Mega Electric"/>
    <n v="153"/>
    <n v="97"/>
    <x v="72"/>
    <n v="167"/>
    <n v="181.66"/>
    <n v="30337.22"/>
    <x v="0"/>
  </r>
  <r>
    <s v="TXN0094"/>
    <d v="2026-07-14T00:00:00"/>
    <s v="P011"/>
    <x v="11"/>
    <x v="0"/>
    <s v="TechParts Malaysia"/>
    <n v="162"/>
    <n v="107"/>
    <x v="73"/>
    <n v="205"/>
    <n v="66.97"/>
    <n v="13728.85"/>
    <x v="0"/>
  </r>
  <r>
    <s v="TXN0095"/>
    <d v="2026-01-27T00:00:00"/>
    <s v="P001"/>
    <x v="17"/>
    <x v="1"/>
    <s v="Maju Industrial"/>
    <n v="199"/>
    <n v="57"/>
    <x v="74"/>
    <n v="90"/>
    <n v="167.69"/>
    <n v="15092.1"/>
    <x v="1"/>
  </r>
  <r>
    <s v="TXN0096"/>
    <d v="2026-01-16T00:00:00"/>
    <s v="P002"/>
    <x v="15"/>
    <x v="4"/>
    <s v="SafePro Supplies"/>
    <n v="146"/>
    <n v="51"/>
    <x v="75"/>
    <n v="192"/>
    <n v="10.119999999999999"/>
    <n v="1943.04"/>
    <x v="2"/>
  </r>
  <r>
    <s v="TXN0097"/>
    <d v="2026-08-31T00:00:00"/>
    <s v="P005"/>
    <x v="13"/>
    <x v="0"/>
    <s v="Mega Electric"/>
    <n v="362"/>
    <n v="29"/>
    <x v="76"/>
    <n v="247"/>
    <n v="221.83"/>
    <n v="54792.01"/>
    <x v="0"/>
  </r>
  <r>
    <s v="TXN0098"/>
    <d v="2026-07-08T00:00:00"/>
    <s v="P009"/>
    <x v="2"/>
    <x v="2"/>
    <s v="Johor Packaging"/>
    <n v="105"/>
    <n v="155"/>
    <x v="77"/>
    <n v="105"/>
    <n v="128.77000000000001"/>
    <n v="13520.85"/>
    <x v="1"/>
  </r>
  <r>
    <s v="TXN0099"/>
    <d v="2026-03-25T00:00:00"/>
    <s v="P004"/>
    <x v="1"/>
    <x v="1"/>
    <s v="Maju Industrial"/>
    <n v="179"/>
    <n v="27"/>
    <x v="78"/>
    <n v="58"/>
    <n v="59.91"/>
    <n v="3474.78"/>
    <x v="0"/>
  </r>
  <r>
    <s v="TXN0100"/>
    <d v="2026-07-12T00:00:00"/>
    <s v="P019"/>
    <x v="4"/>
    <x v="3"/>
    <s v="LogiEquip"/>
    <n v="223"/>
    <n v="50"/>
    <x v="65"/>
    <n v="254"/>
    <n v="230.56"/>
    <n v="58562.239999999998"/>
    <x v="1"/>
  </r>
  <r>
    <s v="TXN0101"/>
    <d v="2026-02-22T00:00:00"/>
    <s v="P008"/>
    <x v="7"/>
    <x v="2"/>
    <s v="PackRight Trading"/>
    <n v="376"/>
    <n v="77"/>
    <x v="38"/>
    <n v="236"/>
    <n v="27.88"/>
    <n v="6579.68"/>
    <x v="2"/>
  </r>
  <r>
    <s v="TXN0102"/>
    <d v="2026-01-22T00:00:00"/>
    <s v="P019"/>
    <x v="4"/>
    <x v="3"/>
    <s v="LogiEquip"/>
    <n v="197"/>
    <n v="136"/>
    <x v="71"/>
    <n v="224"/>
    <n v="233.08"/>
    <n v="52209.919999999998"/>
    <x v="2"/>
  </r>
  <r>
    <s v="TXN0103"/>
    <d v="2026-06-24T00:00:00"/>
    <s v="P017"/>
    <x v="9"/>
    <x v="0"/>
    <s v="Mega Electric"/>
    <n v="26"/>
    <n v="107"/>
    <x v="79"/>
    <n v="8"/>
    <n v="60.02"/>
    <n v="480.16"/>
    <x v="0"/>
  </r>
  <r>
    <s v="TXN0104"/>
    <d v="2026-03-20T00:00:00"/>
    <s v="P015"/>
    <x v="8"/>
    <x v="2"/>
    <s v="Johor Packaging"/>
    <n v="242"/>
    <n v="45"/>
    <x v="80"/>
    <n v="100"/>
    <n v="183.65"/>
    <n v="18365"/>
    <x v="1"/>
  </r>
  <r>
    <s v="TXN0105"/>
    <d v="2026-09-05T00:00:00"/>
    <s v="P009"/>
    <x v="2"/>
    <x v="2"/>
    <s v="Johor Packaging"/>
    <n v="258"/>
    <n v="111"/>
    <x v="81"/>
    <n v="158"/>
    <n v="124.3"/>
    <n v="19639.400000000001"/>
    <x v="0"/>
  </r>
  <r>
    <s v="TXN0106"/>
    <d v="2026-05-06T00:00:00"/>
    <s v="P011"/>
    <x v="11"/>
    <x v="0"/>
    <s v="TechParts Malaysia"/>
    <n v="445"/>
    <n v="22"/>
    <x v="82"/>
    <n v="396"/>
    <n v="67.44"/>
    <n v="26706.240000000002"/>
    <x v="2"/>
  </r>
  <r>
    <s v="TXN0107"/>
    <d v="2026-07-14T00:00:00"/>
    <s v="P015"/>
    <x v="8"/>
    <x v="2"/>
    <s v="Johor Packaging"/>
    <n v="192"/>
    <n v="7"/>
    <x v="83"/>
    <n v="73"/>
    <n v="193.29"/>
    <n v="14110.17"/>
    <x v="2"/>
  </r>
  <r>
    <s v="TXN0108"/>
    <d v="2026-04-19T00:00:00"/>
    <s v="P016"/>
    <x v="18"/>
    <x v="1"/>
    <s v="Maju Industrial"/>
    <n v="201"/>
    <n v="66"/>
    <x v="84"/>
    <n v="180"/>
    <n v="148.52000000000001"/>
    <n v="26733.599999999999"/>
    <x v="1"/>
  </r>
  <r>
    <s v="TXN0109"/>
    <d v="2026-01-06T00:00:00"/>
    <s v="P009"/>
    <x v="2"/>
    <x v="2"/>
    <s v="Johor Packaging"/>
    <n v="284"/>
    <n v="48"/>
    <x v="46"/>
    <n v="311"/>
    <n v="114.91"/>
    <n v="35737.01"/>
    <x v="0"/>
  </r>
  <r>
    <s v="TXN0110"/>
    <d v="2026-05-04T00:00:00"/>
    <s v="P016"/>
    <x v="18"/>
    <x v="1"/>
    <s v="Maju Industrial"/>
    <n v="373"/>
    <n v="121"/>
    <x v="85"/>
    <n v="329"/>
    <n v="159.16999999999999"/>
    <n v="52366.93"/>
    <x v="0"/>
  </r>
  <r>
    <s v="TXN0111"/>
    <d v="2026-02-17T00:00:00"/>
    <s v="P001"/>
    <x v="17"/>
    <x v="1"/>
    <s v="Maju Industrial"/>
    <n v="170"/>
    <n v="56"/>
    <x v="86"/>
    <n v="123"/>
    <n v="185.65"/>
    <n v="22834.95"/>
    <x v="0"/>
  </r>
  <r>
    <s v="TXN0112"/>
    <d v="2026-07-08T00:00:00"/>
    <s v="P019"/>
    <x v="4"/>
    <x v="3"/>
    <s v="LogiEquip"/>
    <n v="262"/>
    <n v="141"/>
    <x v="87"/>
    <n v="268"/>
    <n v="221.53"/>
    <n v="59370.04"/>
    <x v="1"/>
  </r>
  <r>
    <s v="TXN0113"/>
    <d v="2026-06-19T00:00:00"/>
    <s v="P018"/>
    <x v="6"/>
    <x v="4"/>
    <s v="SafePro Supplies"/>
    <n v="200"/>
    <n v="179"/>
    <x v="88"/>
    <n v="263"/>
    <n v="160.13"/>
    <n v="42114.19"/>
    <x v="0"/>
  </r>
  <r>
    <s v="TXN0114"/>
    <d v="2026-03-03T00:00:00"/>
    <s v="P008"/>
    <x v="7"/>
    <x v="2"/>
    <s v="PackRight Trading"/>
    <n v="389"/>
    <n v="49"/>
    <x v="89"/>
    <n v="358"/>
    <n v="25.43"/>
    <n v="9103.94"/>
    <x v="1"/>
  </r>
  <r>
    <s v="TXN0115"/>
    <d v="2026-04-09T00:00:00"/>
    <s v="P006"/>
    <x v="0"/>
    <x v="0"/>
    <s v="Mega Electric"/>
    <n v="130"/>
    <n v="123"/>
    <x v="64"/>
    <n v="183"/>
    <n v="197.29"/>
    <n v="36104.07"/>
    <x v="1"/>
  </r>
  <r>
    <s v="TXN0116"/>
    <d v="2026-05-25T00:00:00"/>
    <s v="P020"/>
    <x v="14"/>
    <x v="2"/>
    <s v="PackRight Trading"/>
    <n v="71"/>
    <n v="49"/>
    <x v="60"/>
    <n v="83"/>
    <n v="4.59"/>
    <n v="380.97"/>
    <x v="2"/>
  </r>
  <r>
    <s v="TXN0117"/>
    <d v="2026-01-08T00:00:00"/>
    <s v="P010"/>
    <x v="12"/>
    <x v="1"/>
    <s v="TechParts Malaysia"/>
    <n v="382"/>
    <n v="136"/>
    <x v="90"/>
    <n v="486"/>
    <n v="10.85"/>
    <n v="5273.1"/>
    <x v="2"/>
  </r>
  <r>
    <s v="TXN0118"/>
    <d v="2026-05-30T00:00:00"/>
    <s v="P018"/>
    <x v="6"/>
    <x v="4"/>
    <s v="SafePro Supplies"/>
    <n v="377"/>
    <n v="32"/>
    <x v="91"/>
    <n v="246"/>
    <n v="176.03"/>
    <n v="43303.38"/>
    <x v="0"/>
  </r>
  <r>
    <s v="TXN0119"/>
    <d v="2026-01-07T00:00:00"/>
    <s v="P004"/>
    <x v="1"/>
    <x v="1"/>
    <s v="Maju Industrial"/>
    <n v="313"/>
    <n v="72"/>
    <x v="92"/>
    <n v="265"/>
    <n v="64.61"/>
    <n v="17121.650000000001"/>
    <x v="0"/>
  </r>
  <r>
    <s v="TXN0120"/>
    <d v="2026-01-27T00:00:00"/>
    <s v="P006"/>
    <x v="0"/>
    <x v="0"/>
    <s v="Mega Electric"/>
    <n v="149"/>
    <n v="122"/>
    <x v="93"/>
    <n v="242"/>
    <n v="200.26"/>
    <n v="48462.92"/>
    <x v="0"/>
  </r>
  <r>
    <s v="TXN0121"/>
    <d v="2026-02-07T00:00:00"/>
    <s v="P016"/>
    <x v="18"/>
    <x v="1"/>
    <s v="Maju Industrial"/>
    <n v="315"/>
    <n v="161"/>
    <x v="54"/>
    <n v="301"/>
    <n v="142.94999999999999"/>
    <n v="43027.95"/>
    <x v="2"/>
  </r>
  <r>
    <s v="TXN0122"/>
    <d v="2026-06-05T00:00:00"/>
    <s v="P019"/>
    <x v="4"/>
    <x v="3"/>
    <s v="LogiEquip"/>
    <n v="63"/>
    <n v="63"/>
    <x v="94"/>
    <n v="111"/>
    <n v="229.32"/>
    <n v="25454.52"/>
    <x v="0"/>
  </r>
  <r>
    <s v="TXN0123"/>
    <d v="2026-04-26T00:00:00"/>
    <s v="P020"/>
    <x v="14"/>
    <x v="2"/>
    <s v="PackRight Trading"/>
    <n v="417"/>
    <n v="133"/>
    <x v="5"/>
    <n v="453"/>
    <n v="4.76"/>
    <n v="2156.2800000000002"/>
    <x v="0"/>
  </r>
  <r>
    <s v="TXN0124"/>
    <d v="2026-08-08T00:00:00"/>
    <s v="P010"/>
    <x v="12"/>
    <x v="1"/>
    <s v="TechParts Malaysia"/>
    <n v="176"/>
    <n v="145"/>
    <x v="3"/>
    <n v="163"/>
    <n v="10.46"/>
    <n v="1704.98"/>
    <x v="1"/>
  </r>
  <r>
    <s v="TXN0125"/>
    <d v="2026-04-17T00:00:00"/>
    <s v="P004"/>
    <x v="1"/>
    <x v="1"/>
    <s v="Maju Industrial"/>
    <n v="340"/>
    <n v="54"/>
    <x v="95"/>
    <n v="327"/>
    <n v="66.489999999999995"/>
    <n v="21742.23"/>
    <x v="2"/>
  </r>
  <r>
    <s v="TXN0126"/>
    <d v="2026-03-30T00:00:00"/>
    <s v="P008"/>
    <x v="7"/>
    <x v="2"/>
    <s v="PackRight Trading"/>
    <n v="302"/>
    <n v="19"/>
    <x v="15"/>
    <n v="281"/>
    <n v="24.93"/>
    <n v="7005.33"/>
    <x v="0"/>
  </r>
  <r>
    <s v="TXN0127"/>
    <d v="2026-08-29T00:00:00"/>
    <s v="P020"/>
    <x v="14"/>
    <x v="2"/>
    <s v="PackRight Trading"/>
    <n v="169"/>
    <n v="8"/>
    <x v="96"/>
    <n v="118"/>
    <n v="4.6399999999999997"/>
    <n v="547.52"/>
    <x v="0"/>
  </r>
  <r>
    <s v="TXN0128"/>
    <d v="2026-02-06T00:00:00"/>
    <s v="P015"/>
    <x v="8"/>
    <x v="2"/>
    <s v="Johor Packaging"/>
    <n v="371"/>
    <n v="59"/>
    <x v="95"/>
    <n v="363"/>
    <n v="191.45"/>
    <n v="69496.350000000006"/>
    <x v="1"/>
  </r>
  <r>
    <s v="TXN0129"/>
    <d v="2026-04-12T00:00:00"/>
    <s v="P019"/>
    <x v="4"/>
    <x v="3"/>
    <s v="LogiEquip"/>
    <n v="237"/>
    <n v="29"/>
    <x v="97"/>
    <n v="127"/>
    <n v="217.21"/>
    <n v="27585.67"/>
    <x v="2"/>
  </r>
  <r>
    <s v="TXN0130"/>
    <d v="2026-03-14T00:00:00"/>
    <s v="P009"/>
    <x v="2"/>
    <x v="2"/>
    <s v="Johor Packaging"/>
    <n v="56"/>
    <n v="15"/>
    <x v="46"/>
    <n v="50"/>
    <n v="125.48"/>
    <n v="6274"/>
    <x v="1"/>
  </r>
  <r>
    <s v="TXN0131"/>
    <d v="2026-05-28T00:00:00"/>
    <s v="P019"/>
    <x v="4"/>
    <x v="3"/>
    <s v="LogiEquip"/>
    <n v="244"/>
    <n v="31"/>
    <x v="98"/>
    <n v="156"/>
    <n v="234.07"/>
    <n v="36514.92"/>
    <x v="1"/>
  </r>
  <r>
    <s v="TXN0132"/>
    <d v="2026-05-20T00:00:00"/>
    <s v="P013"/>
    <x v="19"/>
    <x v="3"/>
    <s v="LogiEquip"/>
    <n v="276"/>
    <n v="138"/>
    <x v="83"/>
    <n v="288"/>
    <n v="10.25"/>
    <n v="2952"/>
    <x v="1"/>
  </r>
  <r>
    <s v="TXN0133"/>
    <d v="2026-08-10T00:00:00"/>
    <s v="P002"/>
    <x v="15"/>
    <x v="4"/>
    <s v="SafePro Supplies"/>
    <n v="396"/>
    <n v="82"/>
    <x v="99"/>
    <n v="324"/>
    <n v="9.5299999999999994"/>
    <n v="3087.72"/>
    <x v="2"/>
  </r>
  <r>
    <s v="TXN0134"/>
    <d v="2026-01-11T00:00:00"/>
    <s v="P008"/>
    <x v="7"/>
    <x v="2"/>
    <s v="PackRight Trading"/>
    <n v="411"/>
    <n v="172"/>
    <x v="100"/>
    <n v="373"/>
    <n v="26.08"/>
    <n v="9727.84"/>
    <x v="2"/>
  </r>
  <r>
    <s v="TXN0135"/>
    <d v="2026-08-29T00:00:00"/>
    <s v="P006"/>
    <x v="0"/>
    <x v="0"/>
    <s v="Mega Electric"/>
    <n v="285"/>
    <n v="166"/>
    <x v="31"/>
    <n v="338"/>
    <n v="203.12"/>
    <n v="68654.559999999998"/>
    <x v="2"/>
  </r>
  <r>
    <s v="TXN0136"/>
    <d v="2026-08-12T00:00:00"/>
    <s v="P019"/>
    <x v="4"/>
    <x v="3"/>
    <s v="LogiEquip"/>
    <n v="345"/>
    <n v="125"/>
    <x v="101"/>
    <n v="447"/>
    <n v="226.12"/>
    <n v="101075.64"/>
    <x v="0"/>
  </r>
  <r>
    <s v="TXN0137"/>
    <d v="2026-06-14T00:00:00"/>
    <s v="P011"/>
    <x v="11"/>
    <x v="0"/>
    <s v="TechParts Malaysia"/>
    <n v="363"/>
    <n v="26"/>
    <x v="102"/>
    <n v="170"/>
    <n v="60.11"/>
    <n v="10218.700000000001"/>
    <x v="0"/>
  </r>
  <r>
    <s v="TXN0138"/>
    <d v="2026-05-28T00:00:00"/>
    <s v="P016"/>
    <x v="18"/>
    <x v="1"/>
    <s v="Maju Industrial"/>
    <n v="359"/>
    <n v="102"/>
    <x v="19"/>
    <n v="253"/>
    <n v="160.37"/>
    <n v="40573.61"/>
    <x v="2"/>
  </r>
  <r>
    <s v="TXN0139"/>
    <d v="2026-02-15T00:00:00"/>
    <s v="P015"/>
    <x v="8"/>
    <x v="2"/>
    <s v="Johor Packaging"/>
    <n v="181"/>
    <n v="64"/>
    <x v="103"/>
    <n v="163"/>
    <n v="171.77"/>
    <n v="27998.51"/>
    <x v="0"/>
  </r>
  <r>
    <s v="TXN0140"/>
    <d v="2026-01-01T00:00:00"/>
    <s v="P017"/>
    <x v="9"/>
    <x v="0"/>
    <s v="Mega Electric"/>
    <n v="356"/>
    <n v="138"/>
    <x v="104"/>
    <n v="376"/>
    <n v="63.17"/>
    <n v="23751.919999999998"/>
    <x v="2"/>
  </r>
  <r>
    <s v="TXN0141"/>
    <d v="2026-07-05T00:00:00"/>
    <s v="P017"/>
    <x v="9"/>
    <x v="0"/>
    <s v="Mega Electric"/>
    <n v="338"/>
    <n v="127"/>
    <x v="105"/>
    <n v="305"/>
    <n v="63.47"/>
    <n v="19358.349999999999"/>
    <x v="2"/>
  </r>
  <r>
    <s v="TXN0142"/>
    <d v="2026-05-17T00:00:00"/>
    <s v="P007"/>
    <x v="16"/>
    <x v="4"/>
    <s v="SafePro Supplies"/>
    <n v="301"/>
    <n v="33"/>
    <x v="106"/>
    <n v="261"/>
    <n v="247.66"/>
    <n v="64639.26"/>
    <x v="1"/>
  </r>
  <r>
    <s v="TXN0143"/>
    <d v="2026-03-04T00:00:00"/>
    <s v="P016"/>
    <x v="18"/>
    <x v="1"/>
    <s v="Maju Industrial"/>
    <n v="34"/>
    <n v="161"/>
    <x v="77"/>
    <n v="40"/>
    <n v="161.32"/>
    <n v="6452.8"/>
    <x v="1"/>
  </r>
  <r>
    <s v="TXN0144"/>
    <d v="2026-06-09T00:00:00"/>
    <s v="P006"/>
    <x v="0"/>
    <x v="0"/>
    <s v="Mega Electric"/>
    <n v="302"/>
    <n v="3"/>
    <x v="42"/>
    <n v="164"/>
    <n v="187.64"/>
    <n v="30772.959999999999"/>
    <x v="2"/>
  </r>
  <r>
    <s v="TXN0145"/>
    <d v="2026-08-25T00:00:00"/>
    <s v="P004"/>
    <x v="1"/>
    <x v="1"/>
    <s v="Maju Industrial"/>
    <n v="80"/>
    <n v="165"/>
    <x v="107"/>
    <n v="32"/>
    <n v="61.24"/>
    <n v="1959.68"/>
    <x v="1"/>
  </r>
  <r>
    <s v="TXN0146"/>
    <d v="2026-09-18T00:00:00"/>
    <s v="P010"/>
    <x v="12"/>
    <x v="1"/>
    <s v="TechParts Malaysia"/>
    <n v="381"/>
    <n v="69"/>
    <x v="108"/>
    <n v="344"/>
    <n v="11.86"/>
    <n v="4079.84"/>
    <x v="0"/>
  </r>
  <r>
    <s v="TXN0147"/>
    <d v="2026-08-22T00:00:00"/>
    <s v="P008"/>
    <x v="7"/>
    <x v="2"/>
    <s v="PackRight Trading"/>
    <n v="302"/>
    <n v="37"/>
    <x v="109"/>
    <n v="241"/>
    <n v="25.74"/>
    <n v="6203.34"/>
    <x v="1"/>
  </r>
  <r>
    <s v="TXN0148"/>
    <d v="2026-03-11T00:00:00"/>
    <s v="P017"/>
    <x v="9"/>
    <x v="0"/>
    <s v="Mega Electric"/>
    <n v="462"/>
    <n v="17"/>
    <x v="64"/>
    <n v="409"/>
    <n v="66.86"/>
    <n v="27345.74"/>
    <x v="0"/>
  </r>
  <r>
    <s v="TXN0149"/>
    <d v="2026-09-17T00:00:00"/>
    <s v="P011"/>
    <x v="11"/>
    <x v="0"/>
    <s v="TechParts Malaysia"/>
    <n v="156"/>
    <n v="0"/>
    <x v="110"/>
    <n v="84"/>
    <n v="65.86"/>
    <n v="5532.24"/>
    <x v="1"/>
  </r>
  <r>
    <s v="TXN0150"/>
    <d v="2026-09-08T00:00:00"/>
    <s v="P019"/>
    <x v="4"/>
    <x v="3"/>
    <s v="LogiEquip"/>
    <n v="463"/>
    <n v="38"/>
    <x v="30"/>
    <n v="387"/>
    <n v="228.61"/>
    <n v="88472.07"/>
    <x v="0"/>
  </r>
  <r>
    <s v="TXN0151"/>
    <d v="2026-07-13T00:00:00"/>
    <s v="P011"/>
    <x v="11"/>
    <x v="0"/>
    <s v="TechParts Malaysia"/>
    <n v="253"/>
    <n v="82"/>
    <x v="111"/>
    <n v="287"/>
    <n v="68.45"/>
    <n v="19645.150000000001"/>
    <x v="2"/>
  </r>
  <r>
    <s v="TXN0152"/>
    <d v="2026-07-16T00:00:00"/>
    <s v="P019"/>
    <x v="4"/>
    <x v="3"/>
    <s v="LogiEquip"/>
    <n v="139"/>
    <n v="105"/>
    <x v="4"/>
    <n v="233"/>
    <n v="220.6"/>
    <n v="51399.8"/>
    <x v="0"/>
  </r>
  <r>
    <s v="TXN0153"/>
    <d v="2026-07-17T00:00:00"/>
    <s v="P013"/>
    <x v="19"/>
    <x v="3"/>
    <s v="LogiEquip"/>
    <n v="359"/>
    <n v="166"/>
    <x v="47"/>
    <n v="487"/>
    <n v="10.34"/>
    <n v="5035.58"/>
    <x v="2"/>
  </r>
  <r>
    <s v="TXN0154"/>
    <d v="2026-09-15T00:00:00"/>
    <s v="P005"/>
    <x v="13"/>
    <x v="0"/>
    <s v="Mega Electric"/>
    <n v="322"/>
    <n v="84"/>
    <x v="112"/>
    <n v="381"/>
    <n v="219.4"/>
    <n v="83591.399999999994"/>
    <x v="0"/>
  </r>
  <r>
    <s v="TXN0155"/>
    <d v="2026-09-27T00:00:00"/>
    <s v="P004"/>
    <x v="1"/>
    <x v="1"/>
    <s v="Maju Industrial"/>
    <n v="486"/>
    <n v="116"/>
    <x v="113"/>
    <n v="599"/>
    <n v="67.14"/>
    <n v="40216.86"/>
    <x v="0"/>
  </r>
  <r>
    <s v="TXN0156"/>
    <d v="2026-02-08T00:00:00"/>
    <s v="P005"/>
    <x v="13"/>
    <x v="0"/>
    <s v="Mega Electric"/>
    <n v="260"/>
    <n v="67"/>
    <x v="29"/>
    <n v="241"/>
    <n v="211.08"/>
    <n v="50870.28"/>
    <x v="0"/>
  </r>
  <r>
    <s v="TXN0157"/>
    <d v="2026-06-18T00:00:00"/>
    <s v="P003"/>
    <x v="3"/>
    <x v="2"/>
    <s v="PackRight Trading"/>
    <n v="456"/>
    <n v="172"/>
    <x v="102"/>
    <n v="409"/>
    <n v="79.61"/>
    <n v="32560.49"/>
    <x v="0"/>
  </r>
  <r>
    <s v="TXN0158"/>
    <d v="2026-01-19T00:00:00"/>
    <s v="P016"/>
    <x v="18"/>
    <x v="1"/>
    <s v="Maju Industrial"/>
    <n v="336"/>
    <n v="17"/>
    <x v="114"/>
    <n v="293"/>
    <n v="157.18"/>
    <n v="46053.74"/>
    <x v="0"/>
  </r>
  <r>
    <s v="TXN0159"/>
    <d v="2026-02-16T00:00:00"/>
    <s v="P008"/>
    <x v="7"/>
    <x v="2"/>
    <s v="PackRight Trading"/>
    <n v="242"/>
    <n v="25"/>
    <x v="115"/>
    <n v="73"/>
    <n v="27.66"/>
    <n v="2019.18"/>
    <x v="2"/>
  </r>
  <r>
    <s v="TXN0160"/>
    <d v="2026-03-27T00:00:00"/>
    <s v="P015"/>
    <x v="8"/>
    <x v="2"/>
    <s v="Johor Packaging"/>
    <n v="375"/>
    <n v="76"/>
    <x v="116"/>
    <n v="444"/>
    <n v="169.72"/>
    <n v="75355.679999999993"/>
    <x v="2"/>
  </r>
  <r>
    <s v="TXN0161"/>
    <d v="2026-07-03T00:00:00"/>
    <s v="P010"/>
    <x v="12"/>
    <x v="1"/>
    <s v="TechParts Malaysia"/>
    <n v="211"/>
    <n v="110"/>
    <x v="60"/>
    <n v="284"/>
    <n v="10.79"/>
    <n v="3064.36"/>
    <x v="0"/>
  </r>
  <r>
    <s v="TXN0162"/>
    <d v="2026-04-03T00:00:00"/>
    <s v="P019"/>
    <x v="4"/>
    <x v="3"/>
    <s v="LogiEquip"/>
    <n v="107"/>
    <n v="44"/>
    <x v="66"/>
    <n v="131"/>
    <n v="231.19"/>
    <n v="30285.89"/>
    <x v="0"/>
  </r>
  <r>
    <s v="TXN0163"/>
    <d v="2026-05-04T00:00:00"/>
    <s v="P020"/>
    <x v="14"/>
    <x v="2"/>
    <s v="PackRight Trading"/>
    <n v="274"/>
    <n v="149"/>
    <x v="117"/>
    <n v="387"/>
    <n v="4.59"/>
    <n v="1776.33"/>
    <x v="1"/>
  </r>
  <r>
    <s v="TXN0164"/>
    <d v="2026-08-24T00:00:00"/>
    <s v="P009"/>
    <x v="2"/>
    <x v="2"/>
    <s v="Johor Packaging"/>
    <n v="150"/>
    <n v="170"/>
    <x v="41"/>
    <n v="318"/>
    <n v="127.52"/>
    <n v="40551.360000000001"/>
    <x v="0"/>
  </r>
  <r>
    <s v="TXN0165"/>
    <d v="2026-03-22T00:00:00"/>
    <s v="P010"/>
    <x v="12"/>
    <x v="1"/>
    <s v="TechParts Malaysia"/>
    <n v="57"/>
    <n v="113"/>
    <x v="52"/>
    <n v="82"/>
    <n v="12.13"/>
    <n v="994.66"/>
    <x v="0"/>
  </r>
  <r>
    <s v="TXN0166"/>
    <d v="2026-05-09T00:00:00"/>
    <s v="P014"/>
    <x v="10"/>
    <x v="3"/>
    <s v="LogiEquip"/>
    <n v="253"/>
    <n v="77"/>
    <x v="118"/>
    <n v="280"/>
    <n v="62.72"/>
    <n v="17561.599999999999"/>
    <x v="0"/>
  </r>
  <r>
    <s v="TXN0167"/>
    <d v="2026-05-02T00:00:00"/>
    <s v="P004"/>
    <x v="1"/>
    <x v="1"/>
    <s v="Maju Industrial"/>
    <n v="215"/>
    <n v="146"/>
    <x v="1"/>
    <n v="270"/>
    <n v="65.61"/>
    <n v="17714.7"/>
    <x v="1"/>
  </r>
  <r>
    <s v="TXN0168"/>
    <d v="2026-01-12T00:00:00"/>
    <s v="P010"/>
    <x v="12"/>
    <x v="1"/>
    <s v="TechParts Malaysia"/>
    <n v="444"/>
    <n v="168"/>
    <x v="119"/>
    <n v="511"/>
    <n v="10.85"/>
    <n v="5544.35"/>
    <x v="1"/>
  </r>
  <r>
    <s v="TXN0169"/>
    <d v="2026-09-12T00:00:00"/>
    <s v="P002"/>
    <x v="15"/>
    <x v="4"/>
    <s v="SafePro Supplies"/>
    <n v="446"/>
    <n v="73"/>
    <x v="120"/>
    <n v="321"/>
    <n v="10.4"/>
    <n v="3338.4"/>
    <x v="1"/>
  </r>
  <r>
    <s v="TXN0170"/>
    <d v="2026-04-23T00:00:00"/>
    <s v="P012"/>
    <x v="5"/>
    <x v="4"/>
    <s v="SafePro Supplies"/>
    <n v="345"/>
    <n v="48"/>
    <x v="3"/>
    <n v="235"/>
    <n v="137.28"/>
    <n v="32260.799999999999"/>
    <x v="1"/>
  </r>
  <r>
    <s v="TXN0171"/>
    <d v="2026-02-19T00:00:00"/>
    <s v="P005"/>
    <x v="13"/>
    <x v="0"/>
    <s v="Mega Electric"/>
    <n v="482"/>
    <n v="160"/>
    <x v="85"/>
    <n v="477"/>
    <n v="191.75"/>
    <n v="91464.75"/>
    <x v="0"/>
  </r>
  <r>
    <s v="TXN0172"/>
    <d v="2026-07-06T00:00:00"/>
    <s v="P002"/>
    <x v="15"/>
    <x v="4"/>
    <s v="SafePro Supplies"/>
    <n v="394"/>
    <n v="33"/>
    <x v="101"/>
    <n v="404"/>
    <n v="10.58"/>
    <n v="4274.32"/>
    <x v="0"/>
  </r>
  <r>
    <s v="TXN0173"/>
    <d v="2026-03-31T00:00:00"/>
    <s v="P014"/>
    <x v="10"/>
    <x v="3"/>
    <s v="LogiEquip"/>
    <n v="122"/>
    <n v="33"/>
    <x v="36"/>
    <n v="17"/>
    <n v="61.58"/>
    <n v="1046.8599999999999"/>
    <x v="0"/>
  </r>
  <r>
    <s v="TXN0174"/>
    <d v="2026-09-14T00:00:00"/>
    <s v="P017"/>
    <x v="9"/>
    <x v="0"/>
    <s v="Mega Electric"/>
    <n v="487"/>
    <n v="69"/>
    <x v="121"/>
    <n v="344"/>
    <n v="60.62"/>
    <n v="20853.28"/>
    <x v="0"/>
  </r>
  <r>
    <s v="TXN0175"/>
    <d v="2026-06-23T00:00:00"/>
    <s v="P010"/>
    <x v="12"/>
    <x v="1"/>
    <s v="TechParts Malaysia"/>
    <n v="431"/>
    <n v="29"/>
    <x v="98"/>
    <n v="341"/>
    <n v="12.09"/>
    <n v="4122.6899999999996"/>
    <x v="2"/>
  </r>
  <r>
    <s v="TXN0176"/>
    <d v="2026-07-23T00:00:00"/>
    <s v="P008"/>
    <x v="7"/>
    <x v="2"/>
    <s v="PackRight Trading"/>
    <n v="453"/>
    <n v="142"/>
    <x v="122"/>
    <n v="502"/>
    <n v="25.31"/>
    <n v="12705.62"/>
    <x v="0"/>
  </r>
  <r>
    <s v="TXN0177"/>
    <d v="2026-05-16T00:00:00"/>
    <s v="P001"/>
    <x v="17"/>
    <x v="1"/>
    <s v="Maju Industrial"/>
    <n v="294"/>
    <n v="31"/>
    <x v="88"/>
    <n v="209"/>
    <n v="176.33"/>
    <n v="36852.97"/>
    <x v="1"/>
  </r>
  <r>
    <s v="TXN0178"/>
    <d v="2026-07-15T00:00:00"/>
    <s v="P009"/>
    <x v="2"/>
    <x v="2"/>
    <s v="Johor Packaging"/>
    <n v="441"/>
    <n v="163"/>
    <x v="22"/>
    <n v="509"/>
    <n v="112.36"/>
    <n v="57191.24"/>
    <x v="2"/>
  </r>
  <r>
    <s v="TXN0179"/>
    <d v="2026-01-13T00:00:00"/>
    <s v="P016"/>
    <x v="18"/>
    <x v="1"/>
    <s v="Maju Industrial"/>
    <n v="337"/>
    <n v="143"/>
    <x v="72"/>
    <n v="397"/>
    <n v="164.18"/>
    <n v="65179.46"/>
    <x v="2"/>
  </r>
  <r>
    <s v="TXN0180"/>
    <d v="2026-08-26T00:00:00"/>
    <s v="P003"/>
    <x v="3"/>
    <x v="2"/>
    <s v="PackRight Trading"/>
    <n v="485"/>
    <n v="179"/>
    <x v="55"/>
    <n v="587"/>
    <n v="81.069999999999993"/>
    <n v="47588.09"/>
    <x v="2"/>
  </r>
  <r>
    <s v="TXN0181"/>
    <d v="2026-01-24T00:00:00"/>
    <s v="P005"/>
    <x v="13"/>
    <x v="0"/>
    <s v="Mega Electric"/>
    <n v="39"/>
    <n v="77"/>
    <x v="11"/>
    <n v="53"/>
    <n v="194.29"/>
    <n v="10297.370000000001"/>
    <x v="2"/>
  </r>
  <r>
    <s v="TXN0182"/>
    <d v="2026-03-11T00:00:00"/>
    <s v="P018"/>
    <x v="6"/>
    <x v="4"/>
    <s v="SafePro Supplies"/>
    <n v="218"/>
    <n v="116"/>
    <x v="123"/>
    <n v="240"/>
    <n v="170.76"/>
    <n v="40982.400000000001"/>
    <x v="1"/>
  </r>
  <r>
    <s v="TXN0183"/>
    <d v="2026-08-03T00:00:00"/>
    <s v="P018"/>
    <x v="6"/>
    <x v="4"/>
    <s v="SafePro Supplies"/>
    <n v="320"/>
    <n v="39"/>
    <x v="108"/>
    <n v="253"/>
    <n v="170.35"/>
    <n v="43098.55"/>
    <x v="0"/>
  </r>
  <r>
    <s v="TXN0184"/>
    <d v="2026-07-28T00:00:00"/>
    <s v="P020"/>
    <x v="14"/>
    <x v="2"/>
    <s v="PackRight Trading"/>
    <n v="500"/>
    <n v="71"/>
    <x v="124"/>
    <n v="563"/>
    <n v="4.95"/>
    <n v="2786.85"/>
    <x v="2"/>
  </r>
  <r>
    <s v="TXN0185"/>
    <d v="2026-08-16T00:00:00"/>
    <s v="P015"/>
    <x v="8"/>
    <x v="2"/>
    <s v="Johor Packaging"/>
    <n v="140"/>
    <n v="92"/>
    <x v="112"/>
    <n v="207"/>
    <n v="197.1"/>
    <n v="40799.699999999997"/>
    <x v="0"/>
  </r>
  <r>
    <s v="TXN0186"/>
    <d v="2026-07-03T00:00:00"/>
    <s v="P018"/>
    <x v="6"/>
    <x v="4"/>
    <s v="SafePro Supplies"/>
    <n v="51"/>
    <n v="101"/>
    <x v="64"/>
    <n v="82"/>
    <n v="157.97999999999999"/>
    <n v="12954.36"/>
    <x v="2"/>
  </r>
  <r>
    <s v="TXN0187"/>
    <d v="2026-02-16T00:00:00"/>
    <s v="P015"/>
    <x v="8"/>
    <x v="2"/>
    <s v="Johor Packaging"/>
    <n v="359"/>
    <n v="54"/>
    <x v="125"/>
    <n v="249"/>
    <n v="187.1"/>
    <n v="46587.9"/>
    <x v="2"/>
  </r>
  <r>
    <s v="TXN0188"/>
    <d v="2026-06-20T00:00:00"/>
    <s v="P002"/>
    <x v="15"/>
    <x v="4"/>
    <s v="SafePro Supplies"/>
    <n v="144"/>
    <n v="32"/>
    <x v="76"/>
    <n v="32"/>
    <n v="9.4600000000000009"/>
    <n v="302.72000000000003"/>
    <x v="1"/>
  </r>
  <r>
    <s v="TXN0189"/>
    <d v="2026-04-21T00:00:00"/>
    <s v="P007"/>
    <x v="16"/>
    <x v="4"/>
    <s v="SafePro Supplies"/>
    <n v="436"/>
    <n v="59"/>
    <x v="126"/>
    <n v="411"/>
    <n v="261.11"/>
    <n v="107316.21"/>
    <x v="1"/>
  </r>
  <r>
    <s v="TXN0190"/>
    <d v="2026-05-22T00:00:00"/>
    <s v="P001"/>
    <x v="17"/>
    <x v="1"/>
    <s v="Maju Industrial"/>
    <n v="459"/>
    <n v="37"/>
    <x v="127"/>
    <n v="463"/>
    <n v="181.28"/>
    <n v="83932.64"/>
    <x v="2"/>
  </r>
  <r>
    <s v="TXN0191"/>
    <d v="2026-01-14T00:00:00"/>
    <s v="P004"/>
    <x v="1"/>
    <x v="1"/>
    <s v="Maju Industrial"/>
    <n v="87"/>
    <n v="3"/>
    <x v="51"/>
    <n v="45"/>
    <n v="67.84"/>
    <n v="3052.8"/>
    <x v="2"/>
  </r>
  <r>
    <s v="TXN0192"/>
    <d v="2026-06-15T00:00:00"/>
    <s v="P019"/>
    <x v="4"/>
    <x v="3"/>
    <s v="LogiEquip"/>
    <n v="28"/>
    <n v="44"/>
    <x v="127"/>
    <n v="39"/>
    <n v="210.94"/>
    <n v="8226.66"/>
    <x v="1"/>
  </r>
  <r>
    <s v="TXN0193"/>
    <d v="2026-09-27T00:00:00"/>
    <s v="P014"/>
    <x v="10"/>
    <x v="3"/>
    <s v="LogiEquip"/>
    <n v="78"/>
    <n v="16"/>
    <x v="114"/>
    <n v="34"/>
    <n v="57.6"/>
    <n v="1958.4"/>
    <x v="0"/>
  </r>
  <r>
    <s v="TXN0194"/>
    <d v="2026-02-25T00:00:00"/>
    <s v="P017"/>
    <x v="9"/>
    <x v="0"/>
    <s v="Mega Electric"/>
    <n v="251"/>
    <n v="128"/>
    <x v="128"/>
    <n v="323"/>
    <n v="68.63"/>
    <n v="22167.49"/>
    <x v="2"/>
  </r>
  <r>
    <s v="TXN0195"/>
    <d v="2026-06-04T00:00:00"/>
    <s v="P017"/>
    <x v="9"/>
    <x v="0"/>
    <s v="Mega Electric"/>
    <n v="254"/>
    <n v="164"/>
    <x v="116"/>
    <n v="411"/>
    <n v="59.56"/>
    <n v="24479.16"/>
    <x v="0"/>
  </r>
  <r>
    <s v="TXN0196"/>
    <d v="2026-08-07T00:00:00"/>
    <s v="P013"/>
    <x v="19"/>
    <x v="3"/>
    <s v="LogiEquip"/>
    <n v="371"/>
    <n v="27"/>
    <x v="79"/>
    <n v="273"/>
    <n v="10.7"/>
    <n v="2921.1"/>
    <x v="0"/>
  </r>
  <r>
    <s v="TXN0197"/>
    <d v="2026-02-11T00:00:00"/>
    <s v="P003"/>
    <x v="3"/>
    <x v="2"/>
    <s v="PackRight Trading"/>
    <n v="184"/>
    <n v="155"/>
    <x v="60"/>
    <n v="302"/>
    <n v="73.680000000000007"/>
    <n v="22251.360000000001"/>
    <x v="0"/>
  </r>
  <r>
    <s v="TXN0198"/>
    <d v="2026-06-16T00:00:00"/>
    <s v="P020"/>
    <x v="14"/>
    <x v="2"/>
    <s v="PackRight Trading"/>
    <n v="215"/>
    <n v="152"/>
    <x v="87"/>
    <n v="232"/>
    <n v="4.6399999999999997"/>
    <n v="1076.48"/>
    <x v="1"/>
  </r>
  <r>
    <s v="TXN0199"/>
    <d v="2026-08-09T00:00:00"/>
    <s v="P020"/>
    <x v="14"/>
    <x v="2"/>
    <s v="PackRight Trading"/>
    <n v="70"/>
    <n v="179"/>
    <x v="93"/>
    <n v="220"/>
    <n v="5.07"/>
    <n v="1115.4000000000001"/>
    <x v="1"/>
  </r>
  <r>
    <s v="TXN0200"/>
    <d v="2026-04-21T00:00:00"/>
    <s v="P018"/>
    <x v="6"/>
    <x v="4"/>
    <s v="SafePro Supplies"/>
    <n v="240"/>
    <n v="115"/>
    <x v="129"/>
    <n v="297"/>
    <n v="163.93"/>
    <n v="48687.21"/>
    <x v="0"/>
  </r>
  <r>
    <s v="TXN0201"/>
    <d v="2026-08-01T00:00:00"/>
    <s v="P013"/>
    <x v="19"/>
    <x v="3"/>
    <s v="LogiEquip"/>
    <n v="393"/>
    <n v="24"/>
    <x v="89"/>
    <n v="337"/>
    <n v="10.23"/>
    <n v="3447.51"/>
    <x v="1"/>
  </r>
  <r>
    <s v="TXN0202"/>
    <d v="2026-07-11T00:00:00"/>
    <s v="P009"/>
    <x v="2"/>
    <x v="2"/>
    <s v="Johor Packaging"/>
    <n v="98"/>
    <n v="175"/>
    <x v="130"/>
    <n v="152"/>
    <n v="111.57"/>
    <n v="16958.64"/>
    <x v="2"/>
  </r>
  <r>
    <s v="TXN0203"/>
    <d v="2026-08-10T00:00:00"/>
    <s v="P003"/>
    <x v="3"/>
    <x v="2"/>
    <s v="PackRight Trading"/>
    <n v="69"/>
    <n v="95"/>
    <x v="127"/>
    <n v="131"/>
    <n v="79.900000000000006"/>
    <n v="10466.9"/>
    <x v="1"/>
  </r>
  <r>
    <s v="TXN0204"/>
    <d v="2026-06-18T00:00:00"/>
    <s v="P018"/>
    <x v="6"/>
    <x v="4"/>
    <s v="SafePro Supplies"/>
    <n v="363"/>
    <n v="31"/>
    <x v="28"/>
    <n v="289"/>
    <n v="162.33000000000001"/>
    <n v="46913.37"/>
    <x v="1"/>
  </r>
  <r>
    <s v="TXN0205"/>
    <d v="2026-01-27T00:00:00"/>
    <s v="P014"/>
    <x v="10"/>
    <x v="3"/>
    <s v="LogiEquip"/>
    <n v="167"/>
    <n v="153"/>
    <x v="131"/>
    <n v="241"/>
    <n v="56.7"/>
    <n v="13664.7"/>
    <x v="1"/>
  </r>
  <r>
    <s v="TXN0206"/>
    <d v="2026-04-19T00:00:00"/>
    <s v="P017"/>
    <x v="9"/>
    <x v="0"/>
    <s v="Mega Electric"/>
    <n v="99"/>
    <n v="168"/>
    <x v="33"/>
    <n v="144"/>
    <n v="61.24"/>
    <n v="8818.56"/>
    <x v="2"/>
  </r>
  <r>
    <s v="TXN0207"/>
    <d v="2026-07-08T00:00:00"/>
    <s v="P012"/>
    <x v="5"/>
    <x v="4"/>
    <s v="SafePro Supplies"/>
    <n v="78"/>
    <n v="71"/>
    <x v="132"/>
    <n v="3"/>
    <n v="136.72"/>
    <n v="410.16"/>
    <x v="0"/>
  </r>
  <r>
    <s v="TXN0208"/>
    <d v="2026-01-14T00:00:00"/>
    <s v="P018"/>
    <x v="6"/>
    <x v="4"/>
    <s v="SafePro Supplies"/>
    <n v="331"/>
    <n v="168"/>
    <x v="121"/>
    <n v="287"/>
    <n v="171.37"/>
    <n v="49183.19"/>
    <x v="2"/>
  </r>
  <r>
    <s v="TXN0209"/>
    <d v="2026-05-20T00:00:00"/>
    <s v="P006"/>
    <x v="0"/>
    <x v="0"/>
    <s v="Mega Electric"/>
    <n v="379"/>
    <n v="79"/>
    <x v="29"/>
    <n v="372"/>
    <n v="185.91"/>
    <n v="69158.52"/>
    <x v="2"/>
  </r>
  <r>
    <s v="TXN0210"/>
    <d v="2026-07-25T00:00:00"/>
    <s v="P005"/>
    <x v="13"/>
    <x v="0"/>
    <s v="Mega Electric"/>
    <n v="55"/>
    <n v="36"/>
    <x v="133"/>
    <n v="10"/>
    <n v="222.63"/>
    <n v="2226.3000000000002"/>
    <x v="2"/>
  </r>
  <r>
    <s v="TXN0211"/>
    <d v="2026-04-21T00:00:00"/>
    <s v="P017"/>
    <x v="9"/>
    <x v="0"/>
    <s v="Mega Electric"/>
    <n v="212"/>
    <n v="107"/>
    <x v="88"/>
    <n v="203"/>
    <n v="62.43"/>
    <n v="12673.29"/>
    <x v="0"/>
  </r>
  <r>
    <s v="TXN0212"/>
    <d v="2026-06-16T00:00:00"/>
    <s v="P010"/>
    <x v="12"/>
    <x v="1"/>
    <s v="TechParts Malaysia"/>
    <n v="417"/>
    <n v="145"/>
    <x v="13"/>
    <n v="410"/>
    <n v="10.51"/>
    <n v="4309.1000000000004"/>
    <x v="2"/>
  </r>
  <r>
    <s v="TXN0213"/>
    <d v="2026-03-22T00:00:00"/>
    <s v="P005"/>
    <x v="13"/>
    <x v="0"/>
    <s v="Mega Electric"/>
    <n v="406"/>
    <n v="158"/>
    <x v="134"/>
    <n v="552"/>
    <n v="212.76"/>
    <n v="117443.52"/>
    <x v="0"/>
  </r>
  <r>
    <s v="TXN0214"/>
    <d v="2026-08-06T00:00:00"/>
    <s v="P015"/>
    <x v="8"/>
    <x v="2"/>
    <s v="Johor Packaging"/>
    <n v="268"/>
    <n v="155"/>
    <x v="31"/>
    <n v="310"/>
    <n v="180.51"/>
    <n v="55958.1"/>
    <x v="2"/>
  </r>
  <r>
    <s v="TXN0215"/>
    <d v="2026-02-28T00:00:00"/>
    <s v="P017"/>
    <x v="9"/>
    <x v="0"/>
    <s v="Mega Electric"/>
    <n v="196"/>
    <n v="110"/>
    <x v="135"/>
    <n v="278"/>
    <n v="61.84"/>
    <n v="17191.52"/>
    <x v="1"/>
  </r>
  <r>
    <s v="TXN0216"/>
    <d v="2026-09-07T00:00:00"/>
    <s v="P019"/>
    <x v="4"/>
    <x v="3"/>
    <s v="LogiEquip"/>
    <n v="289"/>
    <n v="170"/>
    <x v="136"/>
    <n v="381"/>
    <n v="210.69"/>
    <n v="80272.89"/>
    <x v="0"/>
  </r>
  <r>
    <s v="TXN0217"/>
    <d v="2026-01-29T00:00:00"/>
    <s v="P020"/>
    <x v="14"/>
    <x v="2"/>
    <s v="PackRight Trading"/>
    <n v="23"/>
    <n v="52"/>
    <x v="47"/>
    <n v="37"/>
    <n v="5.14"/>
    <n v="190.18"/>
    <x v="2"/>
  </r>
  <r>
    <s v="TXN0218"/>
    <d v="2026-05-29T00:00:00"/>
    <s v="P009"/>
    <x v="2"/>
    <x v="2"/>
    <s v="Johor Packaging"/>
    <n v="187"/>
    <n v="30"/>
    <x v="24"/>
    <n v="216"/>
    <n v="119.82"/>
    <n v="25881.119999999999"/>
    <x v="0"/>
  </r>
  <r>
    <s v="TXN0219"/>
    <d v="2026-03-08T00:00:00"/>
    <s v="P006"/>
    <x v="0"/>
    <x v="0"/>
    <s v="Mega Electric"/>
    <n v="214"/>
    <n v="136"/>
    <x v="137"/>
    <n v="170"/>
    <n v="182.22"/>
    <n v="30977.4"/>
    <x v="1"/>
  </r>
  <r>
    <s v="TXN0220"/>
    <d v="2026-02-06T00:00:00"/>
    <s v="P012"/>
    <x v="5"/>
    <x v="4"/>
    <s v="SafePro Supplies"/>
    <n v="223"/>
    <n v="10"/>
    <x v="138"/>
    <n v="122"/>
    <n v="131.97"/>
    <n v="16100.34"/>
    <x v="2"/>
  </r>
  <r>
    <s v="TXN0221"/>
    <d v="2026-08-08T00:00:00"/>
    <s v="P011"/>
    <x v="11"/>
    <x v="0"/>
    <s v="TechParts Malaysia"/>
    <n v="313"/>
    <n v="103"/>
    <x v="139"/>
    <n v="235"/>
    <n v="64.989999999999995"/>
    <n v="15272.65"/>
    <x v="0"/>
  </r>
  <r>
    <s v="TXN0222"/>
    <d v="2026-07-27T00:00:00"/>
    <s v="P004"/>
    <x v="1"/>
    <x v="1"/>
    <s v="Maju Industrial"/>
    <n v="30"/>
    <n v="83"/>
    <x v="46"/>
    <n v="92"/>
    <n v="67.95"/>
    <n v="6251.4"/>
    <x v="1"/>
  </r>
  <r>
    <s v="TXN0223"/>
    <d v="2026-07-05T00:00:00"/>
    <s v="P015"/>
    <x v="8"/>
    <x v="2"/>
    <s v="Johor Packaging"/>
    <n v="65"/>
    <n v="111"/>
    <x v="43"/>
    <n v="149"/>
    <n v="175.5"/>
    <n v="26149.5"/>
    <x v="1"/>
  </r>
  <r>
    <s v="TXN0224"/>
    <d v="2026-09-26T00:00:00"/>
    <s v="P013"/>
    <x v="19"/>
    <x v="3"/>
    <s v="LogiEquip"/>
    <n v="60"/>
    <n v="101"/>
    <x v="131"/>
    <n v="82"/>
    <n v="10.76"/>
    <n v="882.32"/>
    <x v="2"/>
  </r>
  <r>
    <s v="TXN0225"/>
    <d v="2026-03-28T00:00:00"/>
    <s v="P011"/>
    <x v="11"/>
    <x v="0"/>
    <s v="TechParts Malaysia"/>
    <n v="59"/>
    <n v="130"/>
    <x v="140"/>
    <n v="27"/>
    <n v="59.64"/>
    <n v="1610.28"/>
    <x v="1"/>
  </r>
  <r>
    <s v="TXN0226"/>
    <d v="2026-06-28T00:00:00"/>
    <s v="P007"/>
    <x v="16"/>
    <x v="4"/>
    <s v="SafePro Supplies"/>
    <n v="199"/>
    <n v="165"/>
    <x v="19"/>
    <n v="156"/>
    <n v="236.03"/>
    <n v="36820.68"/>
    <x v="2"/>
  </r>
  <r>
    <s v="TXN0227"/>
    <d v="2026-05-12T00:00:00"/>
    <s v="P005"/>
    <x v="13"/>
    <x v="0"/>
    <s v="Mega Electric"/>
    <n v="121"/>
    <n v="44"/>
    <x v="99"/>
    <n v="11"/>
    <n v="195.51"/>
    <n v="2150.61"/>
    <x v="1"/>
  </r>
  <r>
    <s v="TXN0228"/>
    <d v="2026-04-01T00:00:00"/>
    <s v="P003"/>
    <x v="3"/>
    <x v="2"/>
    <s v="PackRight Trading"/>
    <n v="415"/>
    <n v="160"/>
    <x v="83"/>
    <n v="449"/>
    <n v="78.73"/>
    <n v="35349.769999999997"/>
    <x v="1"/>
  </r>
  <r>
    <s v="TXN0229"/>
    <d v="2026-08-18T00:00:00"/>
    <s v="P019"/>
    <x v="4"/>
    <x v="3"/>
    <s v="LogiEquip"/>
    <n v="368"/>
    <n v="144"/>
    <x v="125"/>
    <n v="348"/>
    <n v="232.13"/>
    <n v="80781.240000000005"/>
    <x v="1"/>
  </r>
  <r>
    <s v="TXN0230"/>
    <d v="2026-06-11T00:00:00"/>
    <s v="P011"/>
    <x v="11"/>
    <x v="0"/>
    <s v="TechParts Malaysia"/>
    <n v="97"/>
    <n v="112"/>
    <x v="141"/>
    <n v="192"/>
    <n v="63.25"/>
    <n v="12144"/>
    <x v="1"/>
  </r>
  <r>
    <s v="TXN0231"/>
    <d v="2026-05-21T00:00:00"/>
    <s v="P010"/>
    <x v="12"/>
    <x v="1"/>
    <s v="TechParts Malaysia"/>
    <n v="322"/>
    <n v="14"/>
    <x v="142"/>
    <n v="246"/>
    <n v="11.27"/>
    <n v="2772.42"/>
    <x v="0"/>
  </r>
  <r>
    <s v="TXN0232"/>
    <d v="2026-08-20T00:00:00"/>
    <s v="P015"/>
    <x v="8"/>
    <x v="2"/>
    <s v="Johor Packaging"/>
    <n v="39"/>
    <n v="14"/>
    <x v="101"/>
    <n v="30"/>
    <n v="192.73"/>
    <n v="5781.9"/>
    <x v="2"/>
  </r>
  <r>
    <s v="TXN0233"/>
    <d v="2026-09-17T00:00:00"/>
    <s v="P003"/>
    <x v="3"/>
    <x v="2"/>
    <s v="PackRight Trading"/>
    <n v="216"/>
    <n v="118"/>
    <x v="78"/>
    <n v="186"/>
    <n v="79.87"/>
    <n v="14855.82"/>
    <x v="1"/>
  </r>
  <r>
    <s v="TXN0234"/>
    <d v="2026-08-19T00:00:00"/>
    <s v="P002"/>
    <x v="15"/>
    <x v="4"/>
    <s v="SafePro Supplies"/>
    <n v="485"/>
    <n v="146"/>
    <x v="74"/>
    <n v="465"/>
    <n v="9.43"/>
    <n v="4384.95"/>
    <x v="1"/>
  </r>
  <r>
    <s v="TXN0235"/>
    <d v="2026-09-14T00:00:00"/>
    <s v="P016"/>
    <x v="18"/>
    <x v="1"/>
    <s v="Maju Industrial"/>
    <n v="97"/>
    <n v="15"/>
    <x v="58"/>
    <n v="55"/>
    <n v="144.18"/>
    <n v="7929.9"/>
    <x v="0"/>
  </r>
  <r>
    <s v="TXN0236"/>
    <d v="2026-09-16T00:00:00"/>
    <s v="P003"/>
    <x v="3"/>
    <x v="2"/>
    <s v="PackRight Trading"/>
    <n v="350"/>
    <n v="44"/>
    <x v="48"/>
    <n v="384"/>
    <n v="75.989999999999995"/>
    <n v="29180.16"/>
    <x v="0"/>
  </r>
  <r>
    <s v="TXN0237"/>
    <d v="2026-09-26T00:00:00"/>
    <s v="P015"/>
    <x v="8"/>
    <x v="2"/>
    <s v="Johor Packaging"/>
    <n v="287"/>
    <n v="156"/>
    <x v="15"/>
    <n v="403"/>
    <n v="179.03"/>
    <n v="72149.09"/>
    <x v="0"/>
  </r>
  <r>
    <s v="TXN0238"/>
    <d v="2026-07-29T00:00:00"/>
    <s v="P013"/>
    <x v="19"/>
    <x v="3"/>
    <s v="LogiEquip"/>
    <n v="416"/>
    <n v="86"/>
    <x v="143"/>
    <n v="329"/>
    <n v="10.51"/>
    <n v="3457.79"/>
    <x v="1"/>
  </r>
  <r>
    <s v="TXN0239"/>
    <d v="2026-02-03T00:00:00"/>
    <s v="P011"/>
    <x v="11"/>
    <x v="0"/>
    <s v="TechParts Malaysia"/>
    <n v="188"/>
    <n v="24"/>
    <x v="144"/>
    <n v="70"/>
    <n v="65.38"/>
    <n v="4576.6000000000004"/>
    <x v="0"/>
  </r>
  <r>
    <s v="TXN0240"/>
    <d v="2026-03-18T00:00:00"/>
    <s v="P009"/>
    <x v="2"/>
    <x v="2"/>
    <s v="Johor Packaging"/>
    <n v="190"/>
    <n v="20"/>
    <x v="40"/>
    <n v="61"/>
    <n v="123.01"/>
    <n v="7503.61"/>
    <x v="0"/>
  </r>
  <r>
    <s v="TXN0241"/>
    <d v="2026-07-20T00:00:00"/>
    <s v="P010"/>
    <x v="12"/>
    <x v="1"/>
    <s v="TechParts Malaysia"/>
    <n v="86"/>
    <n v="152"/>
    <x v="139"/>
    <n v="57"/>
    <n v="12.04"/>
    <n v="686.28"/>
    <x v="0"/>
  </r>
  <r>
    <s v="TXN0242"/>
    <d v="2026-07-12T00:00:00"/>
    <s v="P018"/>
    <x v="6"/>
    <x v="4"/>
    <s v="SafePro Supplies"/>
    <n v="349"/>
    <n v="84"/>
    <x v="19"/>
    <n v="225"/>
    <n v="156.33000000000001"/>
    <n v="35174.25"/>
    <x v="1"/>
  </r>
  <r>
    <s v="TXN0243"/>
    <d v="2026-02-17T00:00:00"/>
    <s v="P017"/>
    <x v="9"/>
    <x v="0"/>
    <s v="Mega Electric"/>
    <n v="350"/>
    <n v="171"/>
    <x v="145"/>
    <n v="413"/>
    <n v="64.150000000000006"/>
    <n v="26493.95"/>
    <x v="2"/>
  </r>
  <r>
    <s v="TXN0244"/>
    <d v="2026-06-08T00:00:00"/>
    <s v="P012"/>
    <x v="5"/>
    <x v="4"/>
    <s v="SafePro Supplies"/>
    <n v="112"/>
    <n v="54"/>
    <x v="84"/>
    <n v="79"/>
    <n v="153.22"/>
    <n v="12104.38"/>
    <x v="0"/>
  </r>
  <r>
    <s v="TXN0245"/>
    <d v="2026-04-26T00:00:00"/>
    <s v="P007"/>
    <x v="16"/>
    <x v="4"/>
    <s v="SafePro Supplies"/>
    <n v="90"/>
    <n v="39"/>
    <x v="65"/>
    <n v="110"/>
    <n v="241.96"/>
    <n v="26615.599999999999"/>
    <x v="2"/>
  </r>
  <r>
    <s v="TXN0246"/>
    <d v="2026-09-27T00:00:00"/>
    <s v="P017"/>
    <x v="9"/>
    <x v="0"/>
    <s v="Mega Electric"/>
    <n v="39"/>
    <n v="169"/>
    <x v="29"/>
    <n v="122"/>
    <n v="67.92"/>
    <n v="8286.24"/>
    <x v="1"/>
  </r>
  <r>
    <s v="TXN0247"/>
    <d v="2026-07-12T00:00:00"/>
    <s v="P005"/>
    <x v="13"/>
    <x v="0"/>
    <s v="Mega Electric"/>
    <n v="98"/>
    <n v="41"/>
    <x v="146"/>
    <n v="93"/>
    <n v="217.98"/>
    <n v="20272.14"/>
    <x v="1"/>
  </r>
  <r>
    <s v="TXN0248"/>
    <d v="2026-08-13T00:00:00"/>
    <s v="P006"/>
    <x v="0"/>
    <x v="0"/>
    <s v="Mega Electric"/>
    <n v="42"/>
    <n v="105"/>
    <x v="122"/>
    <n v="54"/>
    <n v="195.82"/>
    <n v="10574.28"/>
    <x v="2"/>
  </r>
  <r>
    <s v="TXN0249"/>
    <d v="2026-05-26T00:00:00"/>
    <s v="P015"/>
    <x v="8"/>
    <x v="2"/>
    <s v="Johor Packaging"/>
    <n v="405"/>
    <n v="114"/>
    <x v="96"/>
    <n v="460"/>
    <n v="184.01"/>
    <n v="84644.6"/>
    <x v="0"/>
  </r>
  <r>
    <s v="TXN0250"/>
    <d v="2026-04-10T00:00:00"/>
    <s v="P016"/>
    <x v="18"/>
    <x v="1"/>
    <s v="Maju Industrial"/>
    <n v="208"/>
    <n v="173"/>
    <x v="132"/>
    <n v="235"/>
    <n v="165.88"/>
    <n v="38981.800000000003"/>
    <x v="0"/>
  </r>
  <r>
    <s v="TXN0251"/>
    <d v="2026-07-15T00:00:00"/>
    <s v="P010"/>
    <x v="12"/>
    <x v="1"/>
    <s v="TechParts Malaysia"/>
    <n v="277"/>
    <n v="135"/>
    <x v="147"/>
    <n v="305"/>
    <n v="12.09"/>
    <n v="3687.45"/>
    <x v="2"/>
  </r>
  <r>
    <s v="TXN0252"/>
    <d v="2026-03-12T00:00:00"/>
    <s v="P020"/>
    <x v="14"/>
    <x v="2"/>
    <s v="PackRight Trading"/>
    <n v="466"/>
    <n v="64"/>
    <x v="148"/>
    <n v="517"/>
    <n v="4.91"/>
    <n v="2538.4699999999998"/>
    <x v="0"/>
  </r>
  <r>
    <s v="TXN0253"/>
    <d v="2026-02-22T00:00:00"/>
    <s v="P018"/>
    <x v="6"/>
    <x v="4"/>
    <s v="SafePro Supplies"/>
    <n v="384"/>
    <n v="132"/>
    <x v="38"/>
    <n v="299"/>
    <n v="156.24"/>
    <n v="46715.76"/>
    <x v="2"/>
  </r>
  <r>
    <s v="TXN0254"/>
    <d v="2026-05-20T00:00:00"/>
    <s v="P006"/>
    <x v="0"/>
    <x v="0"/>
    <s v="Mega Electric"/>
    <n v="250"/>
    <n v="131"/>
    <x v="60"/>
    <n v="344"/>
    <n v="200.53"/>
    <n v="68982.320000000007"/>
    <x v="2"/>
  </r>
  <r>
    <s v="TXN0255"/>
    <d v="2026-08-19T00:00:00"/>
    <s v="P008"/>
    <x v="7"/>
    <x v="2"/>
    <s v="PackRight Trading"/>
    <n v="472"/>
    <n v="89"/>
    <x v="70"/>
    <n v="555"/>
    <n v="26.71"/>
    <n v="14824.05"/>
    <x v="0"/>
  </r>
  <r>
    <s v="TXN0256"/>
    <d v="2026-07-11T00:00:00"/>
    <s v="P017"/>
    <x v="9"/>
    <x v="0"/>
    <s v="Mega Electric"/>
    <n v="140"/>
    <n v="98"/>
    <x v="66"/>
    <n v="218"/>
    <n v="62.78"/>
    <n v="13686.04"/>
    <x v="2"/>
  </r>
  <r>
    <s v="TXN0257"/>
    <d v="2026-02-20T00:00:00"/>
    <s v="P011"/>
    <x v="11"/>
    <x v="0"/>
    <s v="TechParts Malaysia"/>
    <n v="449"/>
    <n v="166"/>
    <x v="149"/>
    <n v="530"/>
    <n v="66.53"/>
    <n v="35260.9"/>
    <x v="2"/>
  </r>
  <r>
    <s v="TXN0258"/>
    <d v="2026-05-27T00:00:00"/>
    <s v="P002"/>
    <x v="15"/>
    <x v="4"/>
    <s v="SafePro Supplies"/>
    <n v="489"/>
    <n v="120"/>
    <x v="150"/>
    <n v="431"/>
    <n v="10.45"/>
    <n v="4503.95"/>
    <x v="1"/>
  </r>
  <r>
    <s v="TXN0259"/>
    <d v="2026-08-18T00:00:00"/>
    <s v="P016"/>
    <x v="18"/>
    <x v="1"/>
    <s v="Maju Industrial"/>
    <n v="335"/>
    <n v="1"/>
    <x v="66"/>
    <n v="316"/>
    <n v="142.1"/>
    <n v="44903.6"/>
    <x v="2"/>
  </r>
  <r>
    <s v="TXN0260"/>
    <d v="2026-09-28T00:00:00"/>
    <s v="P005"/>
    <x v="13"/>
    <x v="0"/>
    <s v="Mega Electric"/>
    <n v="236"/>
    <n v="28"/>
    <x v="120"/>
    <n v="66"/>
    <n v="199.98"/>
    <n v="13198.68"/>
    <x v="0"/>
  </r>
  <r>
    <s v="TXN0261"/>
    <d v="2026-01-25T00:00:00"/>
    <s v="P004"/>
    <x v="1"/>
    <x v="1"/>
    <s v="Maju Industrial"/>
    <n v="142"/>
    <n v="107"/>
    <x v="91"/>
    <n v="86"/>
    <n v="67.88"/>
    <n v="5837.68"/>
    <x v="0"/>
  </r>
  <r>
    <s v="TXN0262"/>
    <d v="2026-02-26T00:00:00"/>
    <s v="P003"/>
    <x v="3"/>
    <x v="2"/>
    <s v="PackRight Trading"/>
    <n v="448"/>
    <n v="127"/>
    <x v="13"/>
    <n v="423"/>
    <n v="79.64"/>
    <n v="33687.72"/>
    <x v="1"/>
  </r>
  <r>
    <s v="TXN0263"/>
    <d v="2026-05-04T00:00:00"/>
    <s v="P017"/>
    <x v="9"/>
    <x v="0"/>
    <s v="Mega Electric"/>
    <n v="387"/>
    <n v="36"/>
    <x v="151"/>
    <n v="349"/>
    <n v="63.34"/>
    <n v="22105.66"/>
    <x v="1"/>
  </r>
  <r>
    <s v="TXN0264"/>
    <d v="2026-05-04T00:00:00"/>
    <s v="P012"/>
    <x v="5"/>
    <x v="4"/>
    <s v="SafePro Supplies"/>
    <n v="312"/>
    <n v="106"/>
    <x v="152"/>
    <n v="371"/>
    <n v="146.74"/>
    <n v="54440.54"/>
    <x v="2"/>
  </r>
  <r>
    <s v="TXN0265"/>
    <d v="2026-07-04T00:00:00"/>
    <s v="P017"/>
    <x v="9"/>
    <x v="0"/>
    <s v="Mega Electric"/>
    <n v="54"/>
    <n v="134"/>
    <x v="97"/>
    <n v="49"/>
    <n v="64.14"/>
    <n v="3142.86"/>
    <x v="1"/>
  </r>
  <r>
    <s v="TXN0266"/>
    <d v="2026-01-11T00:00:00"/>
    <s v="P018"/>
    <x v="6"/>
    <x v="4"/>
    <s v="SafePro Supplies"/>
    <n v="219"/>
    <n v="120"/>
    <x v="4"/>
    <n v="328"/>
    <n v="169.83"/>
    <n v="55704.24"/>
    <x v="0"/>
  </r>
  <r>
    <s v="TXN0267"/>
    <d v="2026-01-09T00:00:00"/>
    <s v="P009"/>
    <x v="2"/>
    <x v="2"/>
    <s v="Johor Packaging"/>
    <n v="202"/>
    <n v="17"/>
    <x v="52"/>
    <n v="131"/>
    <n v="114.91"/>
    <n v="15053.21"/>
    <x v="1"/>
  </r>
  <r>
    <s v="TXN0268"/>
    <d v="2026-06-20T00:00:00"/>
    <s v="P004"/>
    <x v="1"/>
    <x v="1"/>
    <s v="Maju Industrial"/>
    <n v="88"/>
    <n v="11"/>
    <x v="51"/>
    <n v="54"/>
    <n v="65.31"/>
    <n v="3526.74"/>
    <x v="1"/>
  </r>
  <r>
    <s v="TXN0269"/>
    <d v="2026-08-26T00:00:00"/>
    <s v="P006"/>
    <x v="0"/>
    <x v="0"/>
    <s v="Mega Electric"/>
    <n v="376"/>
    <n v="122"/>
    <x v="153"/>
    <n v="337"/>
    <n v="180.76"/>
    <n v="60916.12"/>
    <x v="2"/>
  </r>
  <r>
    <s v="TXN0270"/>
    <d v="2026-08-23T00:00:00"/>
    <s v="P003"/>
    <x v="3"/>
    <x v="2"/>
    <s v="PackRight Trading"/>
    <n v="38"/>
    <n v="75"/>
    <x v="112"/>
    <n v="88"/>
    <n v="73.400000000000006"/>
    <n v="6459.2"/>
    <x v="2"/>
  </r>
  <r>
    <s v="TXN0271"/>
    <d v="2026-06-11T00:00:00"/>
    <s v="P002"/>
    <x v="15"/>
    <x v="4"/>
    <s v="SafePro Supplies"/>
    <n v="497"/>
    <n v="79"/>
    <x v="154"/>
    <n v="445"/>
    <n v="9.77"/>
    <n v="4347.6499999999996"/>
    <x v="1"/>
  </r>
  <r>
    <s v="TXN0272"/>
    <d v="2026-05-10T00:00:00"/>
    <s v="P016"/>
    <x v="18"/>
    <x v="1"/>
    <s v="Maju Industrial"/>
    <n v="38"/>
    <n v="165"/>
    <x v="111"/>
    <n v="155"/>
    <n v="148.68"/>
    <n v="23045.4"/>
    <x v="2"/>
  </r>
  <r>
    <s v="TXN0273"/>
    <d v="2026-05-20T00:00:00"/>
    <s v="P011"/>
    <x v="11"/>
    <x v="0"/>
    <s v="TechParts Malaysia"/>
    <n v="83"/>
    <n v="94"/>
    <x v="138"/>
    <n v="66"/>
    <n v="67.52"/>
    <n v="4456.32"/>
    <x v="1"/>
  </r>
  <r>
    <s v="TXN0274"/>
    <d v="2026-07-17T00:00:00"/>
    <s v="P015"/>
    <x v="8"/>
    <x v="2"/>
    <s v="Johor Packaging"/>
    <n v="193"/>
    <n v="47"/>
    <x v="10"/>
    <n v="113"/>
    <n v="188.64"/>
    <n v="21316.32"/>
    <x v="0"/>
  </r>
  <r>
    <s v="TXN0275"/>
    <d v="2026-05-17T00:00:00"/>
    <s v="P017"/>
    <x v="9"/>
    <x v="0"/>
    <s v="Mega Electric"/>
    <n v="430"/>
    <n v="21"/>
    <x v="155"/>
    <n v="265"/>
    <n v="63.29"/>
    <n v="16771.849999999999"/>
    <x v="0"/>
  </r>
  <r>
    <s v="TXN0276"/>
    <d v="2026-04-03T00:00:00"/>
    <s v="P020"/>
    <x v="14"/>
    <x v="2"/>
    <s v="PackRight Trading"/>
    <n v="299"/>
    <n v="75"/>
    <x v="103"/>
    <n v="292"/>
    <n v="4.49"/>
    <n v="1311.08"/>
    <x v="0"/>
  </r>
  <r>
    <s v="TXN0277"/>
    <d v="2026-06-06T00:00:00"/>
    <s v="P010"/>
    <x v="12"/>
    <x v="1"/>
    <s v="TechParts Malaysia"/>
    <n v="248"/>
    <n v="154"/>
    <x v="44"/>
    <n v="219"/>
    <n v="11.12"/>
    <n v="2435.2800000000002"/>
    <x v="1"/>
  </r>
  <r>
    <s v="TXN0278"/>
    <d v="2026-06-29T00:00:00"/>
    <s v="P015"/>
    <x v="8"/>
    <x v="2"/>
    <s v="Johor Packaging"/>
    <n v="248"/>
    <n v="10"/>
    <x v="155"/>
    <n v="72"/>
    <n v="193.85"/>
    <n v="13957.2"/>
    <x v="0"/>
  </r>
  <r>
    <s v="TXN0279"/>
    <d v="2026-08-11T00:00:00"/>
    <s v="P020"/>
    <x v="14"/>
    <x v="2"/>
    <s v="PackRight Trading"/>
    <n v="160"/>
    <n v="163"/>
    <x v="156"/>
    <n v="121"/>
    <n v="5.14"/>
    <n v="621.94000000000005"/>
    <x v="2"/>
  </r>
  <r>
    <s v="TXN0280"/>
    <d v="2026-07-06T00:00:00"/>
    <s v="P013"/>
    <x v="19"/>
    <x v="3"/>
    <s v="LogiEquip"/>
    <n v="282"/>
    <n v="173"/>
    <x v="15"/>
    <n v="415"/>
    <n v="11.1"/>
    <n v="4606.5"/>
    <x v="2"/>
  </r>
  <r>
    <s v="TXN0281"/>
    <d v="2026-08-13T00:00:00"/>
    <s v="P020"/>
    <x v="14"/>
    <x v="2"/>
    <s v="PackRight Trading"/>
    <n v="37"/>
    <n v="32"/>
    <x v="124"/>
    <n v="61"/>
    <n v="4.5999999999999996"/>
    <n v="280.60000000000002"/>
    <x v="1"/>
  </r>
  <r>
    <s v="TXN0282"/>
    <d v="2026-07-05T00:00:00"/>
    <s v="P012"/>
    <x v="5"/>
    <x v="4"/>
    <s v="SafePro Supplies"/>
    <n v="216"/>
    <n v="145"/>
    <x v="124"/>
    <n v="353"/>
    <n v="145.38999999999999"/>
    <n v="51322.67"/>
    <x v="1"/>
  </r>
  <r>
    <s v="TXN0283"/>
    <d v="2026-07-09T00:00:00"/>
    <s v="P015"/>
    <x v="8"/>
    <x v="2"/>
    <s v="Johor Packaging"/>
    <n v="210"/>
    <n v="113"/>
    <x v="157"/>
    <n v="128"/>
    <n v="170.63"/>
    <n v="21840.639999999999"/>
    <x v="2"/>
  </r>
  <r>
    <s v="TXN0284"/>
    <d v="2026-07-07T00:00:00"/>
    <s v="P017"/>
    <x v="9"/>
    <x v="0"/>
    <s v="Mega Electric"/>
    <n v="223"/>
    <n v="80"/>
    <x v="74"/>
    <n v="137"/>
    <n v="61.79"/>
    <n v="8465.23"/>
    <x v="2"/>
  </r>
  <r>
    <s v="TXN0285"/>
    <d v="2026-04-06T00:00:00"/>
    <s v="P001"/>
    <x v="17"/>
    <x v="1"/>
    <s v="Maju Industrial"/>
    <n v="275"/>
    <n v="132"/>
    <x v="34"/>
    <n v="308"/>
    <n v="192.04"/>
    <n v="59148.32"/>
    <x v="2"/>
  </r>
  <r>
    <s v="TXN0286"/>
    <d v="2026-05-14T00:00:00"/>
    <s v="P009"/>
    <x v="2"/>
    <x v="2"/>
    <s v="Johor Packaging"/>
    <n v="380"/>
    <n v="114"/>
    <x v="26"/>
    <n v="440"/>
    <n v="129.38999999999999"/>
    <n v="56931.6"/>
    <x v="0"/>
  </r>
  <r>
    <s v="TXN0287"/>
    <d v="2026-04-13T00:00:00"/>
    <s v="P016"/>
    <x v="18"/>
    <x v="1"/>
    <s v="Maju Industrial"/>
    <n v="82"/>
    <n v="34"/>
    <x v="71"/>
    <n v="7"/>
    <n v="143.46"/>
    <n v="1004.22"/>
    <x v="2"/>
  </r>
  <r>
    <s v="TXN0288"/>
    <d v="2026-02-14T00:00:00"/>
    <s v="P015"/>
    <x v="8"/>
    <x v="2"/>
    <s v="Johor Packaging"/>
    <n v="434"/>
    <n v="174"/>
    <x v="45"/>
    <n v="392"/>
    <n v="197.27"/>
    <n v="77329.84"/>
    <x v="1"/>
  </r>
  <r>
    <s v="TXN0289"/>
    <d v="2026-02-03T00:00:00"/>
    <s v="P012"/>
    <x v="5"/>
    <x v="4"/>
    <s v="SafePro Supplies"/>
    <n v="301"/>
    <n v="138"/>
    <x v="151"/>
    <n v="365"/>
    <n v="151.94"/>
    <n v="55458.1"/>
    <x v="2"/>
  </r>
  <r>
    <s v="TXN0290"/>
    <d v="2026-07-05T00:00:00"/>
    <s v="P006"/>
    <x v="0"/>
    <x v="0"/>
    <s v="Mega Electric"/>
    <n v="280"/>
    <n v="57"/>
    <x v="158"/>
    <n v="306"/>
    <n v="205.23"/>
    <n v="62800.38"/>
    <x v="2"/>
  </r>
  <r>
    <s v="TXN0291"/>
    <d v="2026-09-10T00:00:00"/>
    <s v="P008"/>
    <x v="7"/>
    <x v="2"/>
    <s v="PackRight Trading"/>
    <n v="33"/>
    <n v="92"/>
    <x v="64"/>
    <n v="55"/>
    <n v="27.4"/>
    <n v="1507"/>
    <x v="0"/>
  </r>
  <r>
    <s v="TXN0292"/>
    <d v="2026-03-08T00:00:00"/>
    <s v="P018"/>
    <x v="6"/>
    <x v="4"/>
    <s v="SafePro Supplies"/>
    <n v="333"/>
    <n v="22"/>
    <x v="23"/>
    <n v="339"/>
    <n v="161.15"/>
    <n v="54629.85"/>
    <x v="1"/>
  </r>
  <r>
    <s v="TXN0293"/>
    <d v="2026-09-27T00:00:00"/>
    <s v="P016"/>
    <x v="18"/>
    <x v="1"/>
    <s v="Maju Industrial"/>
    <n v="230"/>
    <n v="104"/>
    <x v="100"/>
    <n v="124"/>
    <n v="155.79"/>
    <n v="19317.96"/>
    <x v="2"/>
  </r>
  <r>
    <s v="TXN0294"/>
    <d v="2026-02-07T00:00:00"/>
    <s v="P011"/>
    <x v="11"/>
    <x v="0"/>
    <s v="TechParts Malaysia"/>
    <n v="250"/>
    <n v="119"/>
    <x v="14"/>
    <n v="195"/>
    <n v="63.74"/>
    <n v="12429.3"/>
    <x v="2"/>
  </r>
  <r>
    <s v="TXN0295"/>
    <d v="2026-04-04T00:00:00"/>
    <s v="P018"/>
    <x v="6"/>
    <x v="4"/>
    <s v="SafePro Supplies"/>
    <n v="413"/>
    <n v="33"/>
    <x v="159"/>
    <n v="336"/>
    <n v="166.3"/>
    <n v="55876.800000000003"/>
    <x v="2"/>
  </r>
  <r>
    <s v="TXN0296"/>
    <d v="2026-09-23T00:00:00"/>
    <s v="P004"/>
    <x v="1"/>
    <x v="1"/>
    <s v="Maju Industrial"/>
    <n v="98"/>
    <n v="77"/>
    <x v="160"/>
    <n v="133"/>
    <n v="61.32"/>
    <n v="8155.56"/>
    <x v="1"/>
  </r>
  <r>
    <s v="TXN0297"/>
    <d v="2026-06-27T00:00:00"/>
    <s v="P008"/>
    <x v="7"/>
    <x v="2"/>
    <s v="PackRight Trading"/>
    <n v="285"/>
    <n v="72"/>
    <x v="45"/>
    <n v="141"/>
    <n v="25.26"/>
    <n v="3561.66"/>
    <x v="2"/>
  </r>
  <r>
    <s v="TXN0298"/>
    <d v="2026-05-21T00:00:00"/>
    <s v="P018"/>
    <x v="6"/>
    <x v="4"/>
    <s v="SafePro Supplies"/>
    <n v="84"/>
    <n v="160"/>
    <x v="55"/>
    <n v="167"/>
    <n v="169.27"/>
    <n v="28268.09"/>
    <x v="2"/>
  </r>
  <r>
    <s v="TXN0299"/>
    <d v="2026-03-28T00:00:00"/>
    <s v="P017"/>
    <x v="9"/>
    <x v="0"/>
    <s v="Mega Electric"/>
    <n v="323"/>
    <n v="148"/>
    <x v="0"/>
    <n v="432"/>
    <n v="60.69"/>
    <n v="26218.080000000002"/>
    <x v="1"/>
  </r>
  <r>
    <s v="TXN0300"/>
    <d v="2026-06-22T00:00:00"/>
    <s v="P020"/>
    <x v="14"/>
    <x v="2"/>
    <s v="PackRight Trading"/>
    <n v="451"/>
    <n v="144"/>
    <x v="48"/>
    <n v="585"/>
    <n v="5.05"/>
    <n v="2954.25"/>
    <x v="2"/>
  </r>
  <r>
    <s v="TXN0301"/>
    <d v="2026-01-24T00:00:00"/>
    <s v="P003"/>
    <x v="3"/>
    <x v="2"/>
    <s v="PackRight Trading"/>
    <n v="348"/>
    <n v="147"/>
    <x v="95"/>
    <n v="428"/>
    <n v="81.099999999999994"/>
    <n v="34710.800000000003"/>
    <x v="1"/>
  </r>
  <r>
    <s v="TXN0302"/>
    <d v="2026-01-16T00:00:00"/>
    <s v="P014"/>
    <x v="10"/>
    <x v="3"/>
    <s v="LogiEquip"/>
    <n v="274"/>
    <n v="160"/>
    <x v="97"/>
    <n v="295"/>
    <n v="56.12"/>
    <n v="16555.400000000001"/>
    <x v="0"/>
  </r>
  <r>
    <s v="TXN0303"/>
    <d v="2026-05-06T00:00:00"/>
    <s v="P016"/>
    <x v="18"/>
    <x v="1"/>
    <s v="Maju Industrial"/>
    <n v="432"/>
    <n v="175"/>
    <x v="86"/>
    <n v="504"/>
    <n v="148.96"/>
    <n v="75075.839999999997"/>
    <x v="2"/>
  </r>
  <r>
    <s v="TXN0304"/>
    <d v="2026-03-22T00:00:00"/>
    <s v="P002"/>
    <x v="15"/>
    <x v="4"/>
    <s v="SafePro Supplies"/>
    <n v="245"/>
    <n v="106"/>
    <x v="33"/>
    <n v="228"/>
    <n v="9.8699999999999992"/>
    <n v="2250.36"/>
    <x v="0"/>
  </r>
  <r>
    <s v="TXN0305"/>
    <d v="2026-03-15T00:00:00"/>
    <s v="P020"/>
    <x v="14"/>
    <x v="2"/>
    <s v="PackRight Trading"/>
    <n v="180"/>
    <n v="81"/>
    <x v="80"/>
    <n v="74"/>
    <n v="5.17"/>
    <n v="382.58"/>
    <x v="0"/>
  </r>
  <r>
    <s v="TXN0306"/>
    <d v="2026-03-08T00:00:00"/>
    <s v="P013"/>
    <x v="19"/>
    <x v="3"/>
    <s v="LogiEquip"/>
    <n v="409"/>
    <n v="94"/>
    <x v="154"/>
    <n v="372"/>
    <n v="10.45"/>
    <n v="3887.4"/>
    <x v="0"/>
  </r>
  <r>
    <s v="TXN0307"/>
    <d v="2026-08-27T00:00:00"/>
    <s v="P008"/>
    <x v="7"/>
    <x v="2"/>
    <s v="PackRight Trading"/>
    <n v="82"/>
    <n v="68"/>
    <x v="161"/>
    <n v="35"/>
    <n v="25.99"/>
    <n v="909.65"/>
    <x v="2"/>
  </r>
  <r>
    <s v="TXN0308"/>
    <d v="2026-05-29T00:00:00"/>
    <s v="P002"/>
    <x v="15"/>
    <x v="4"/>
    <s v="SafePro Supplies"/>
    <n v="216"/>
    <n v="157"/>
    <x v="147"/>
    <n v="266"/>
    <n v="9.5299999999999994"/>
    <n v="2534.98"/>
    <x v="2"/>
  </r>
  <r>
    <s v="TXN0309"/>
    <d v="2026-06-10T00:00:00"/>
    <s v="P011"/>
    <x v="11"/>
    <x v="0"/>
    <s v="TechParts Malaysia"/>
    <n v="117"/>
    <n v="40"/>
    <x v="10"/>
    <n v="30"/>
    <n v="68.61"/>
    <n v="2058.3000000000002"/>
    <x v="0"/>
  </r>
  <r>
    <s v="TXN0310"/>
    <d v="2026-06-07T00:00:00"/>
    <s v="P016"/>
    <x v="18"/>
    <x v="1"/>
    <s v="Maju Industrial"/>
    <n v="274"/>
    <n v="5"/>
    <x v="101"/>
    <n v="256"/>
    <n v="164.92"/>
    <n v="42219.519999999997"/>
    <x v="1"/>
  </r>
  <r>
    <s v="TXN0311"/>
    <d v="2026-05-04T00:00:00"/>
    <s v="P015"/>
    <x v="8"/>
    <x v="2"/>
    <s v="Johor Packaging"/>
    <n v="130"/>
    <n v="149"/>
    <x v="142"/>
    <n v="189"/>
    <n v="169.8"/>
    <n v="32092.2"/>
    <x v="0"/>
  </r>
  <r>
    <s v="TXN0312"/>
    <d v="2026-08-29T00:00:00"/>
    <s v="P016"/>
    <x v="18"/>
    <x v="1"/>
    <s v="Maju Industrial"/>
    <n v="166"/>
    <n v="137"/>
    <x v="41"/>
    <n v="301"/>
    <n v="162.5"/>
    <n v="48912.5"/>
    <x v="0"/>
  </r>
  <r>
    <s v="TXN0313"/>
    <d v="2026-05-16T00:00:00"/>
    <s v="P005"/>
    <x v="13"/>
    <x v="0"/>
    <s v="Mega Electric"/>
    <n v="392"/>
    <n v="93"/>
    <x v="157"/>
    <n v="290"/>
    <n v="203.8"/>
    <n v="59102"/>
    <x v="2"/>
  </r>
  <r>
    <s v="TXN0314"/>
    <d v="2026-01-27T00:00:00"/>
    <s v="P013"/>
    <x v="19"/>
    <x v="3"/>
    <s v="LogiEquip"/>
    <n v="311"/>
    <n v="143"/>
    <x v="162"/>
    <n v="405"/>
    <n v="10.119999999999999"/>
    <n v="4098.6000000000004"/>
    <x v="0"/>
  </r>
  <r>
    <s v="TXN0315"/>
    <d v="2026-07-17T00:00:00"/>
    <s v="P003"/>
    <x v="3"/>
    <x v="2"/>
    <s v="PackRight Trading"/>
    <n v="278"/>
    <n v="115"/>
    <x v="157"/>
    <n v="198"/>
    <n v="79.81"/>
    <n v="15802.38"/>
    <x v="1"/>
  </r>
  <r>
    <s v="TXN0316"/>
    <d v="2026-03-02T00:00:00"/>
    <s v="P020"/>
    <x v="14"/>
    <x v="2"/>
    <s v="PackRight Trading"/>
    <n v="85"/>
    <n v="24"/>
    <x v="118"/>
    <n v="59"/>
    <n v="4.7"/>
    <n v="277.3"/>
    <x v="0"/>
  </r>
  <r>
    <s v="TXN0317"/>
    <d v="2026-07-07T00:00:00"/>
    <s v="P018"/>
    <x v="6"/>
    <x v="4"/>
    <s v="SafePro Supplies"/>
    <n v="406"/>
    <n v="36"/>
    <x v="118"/>
    <n v="392"/>
    <n v="168.95"/>
    <n v="66228.399999999994"/>
    <x v="0"/>
  </r>
  <r>
    <s v="TXN0318"/>
    <d v="2026-01-21T00:00:00"/>
    <s v="P017"/>
    <x v="9"/>
    <x v="0"/>
    <s v="Mega Electric"/>
    <n v="43"/>
    <n v="9"/>
    <x v="124"/>
    <n v="44"/>
    <n v="66.25"/>
    <n v="2915"/>
    <x v="0"/>
  </r>
  <r>
    <s v="TXN0319"/>
    <d v="2026-08-22T00:00:00"/>
    <s v="P017"/>
    <x v="9"/>
    <x v="0"/>
    <s v="Mega Electric"/>
    <n v="96"/>
    <n v="155"/>
    <x v="154"/>
    <n v="120"/>
    <n v="60.37"/>
    <n v="7244.4"/>
    <x v="1"/>
  </r>
  <r>
    <s v="TXN0320"/>
    <d v="2026-03-25T00:00:00"/>
    <s v="P011"/>
    <x v="11"/>
    <x v="0"/>
    <s v="TechParts Malaysia"/>
    <n v="221"/>
    <n v="157"/>
    <x v="163"/>
    <n v="189"/>
    <n v="67.05"/>
    <n v="12672.45"/>
    <x v="1"/>
  </r>
  <r>
    <s v="TXN0321"/>
    <d v="2026-09-17T00:00:00"/>
    <s v="P011"/>
    <x v="11"/>
    <x v="0"/>
    <s v="TechParts Malaysia"/>
    <n v="444"/>
    <n v="130"/>
    <x v="164"/>
    <n v="438"/>
    <n v="63.46"/>
    <n v="27795.48"/>
    <x v="2"/>
  </r>
  <r>
    <s v="TXN0322"/>
    <d v="2026-09-01T00:00:00"/>
    <s v="P010"/>
    <x v="12"/>
    <x v="1"/>
    <s v="TechParts Malaysia"/>
    <n v="437"/>
    <n v="4"/>
    <x v="123"/>
    <n v="347"/>
    <n v="10.95"/>
    <n v="3799.65"/>
    <x v="2"/>
  </r>
  <r>
    <s v="TXN0323"/>
    <d v="2026-06-07T00:00:00"/>
    <s v="P014"/>
    <x v="10"/>
    <x v="3"/>
    <s v="LogiEquip"/>
    <n v="427"/>
    <n v="176"/>
    <x v="153"/>
    <n v="442"/>
    <n v="53.68"/>
    <n v="23726.560000000001"/>
    <x v="0"/>
  </r>
  <r>
    <s v="TXN0324"/>
    <d v="2026-04-27T00:00:00"/>
    <s v="P009"/>
    <x v="2"/>
    <x v="2"/>
    <s v="Johor Packaging"/>
    <n v="389"/>
    <n v="13"/>
    <x v="40"/>
    <n v="253"/>
    <n v="119.5"/>
    <n v="30233.5"/>
    <x v="1"/>
  </r>
  <r>
    <s v="TXN0325"/>
    <d v="2026-07-14T00:00:00"/>
    <s v="P020"/>
    <x v="14"/>
    <x v="2"/>
    <s v="PackRight Trading"/>
    <n v="95"/>
    <n v="174"/>
    <x v="165"/>
    <n v="207"/>
    <n v="4.4400000000000004"/>
    <n v="919.08"/>
    <x v="1"/>
  </r>
  <r>
    <s v="TXN0326"/>
    <d v="2026-04-08T00:00:00"/>
    <s v="P004"/>
    <x v="1"/>
    <x v="1"/>
    <s v="Maju Industrial"/>
    <n v="29"/>
    <n v="112"/>
    <x v="89"/>
    <n v="61"/>
    <n v="63.99"/>
    <n v="3903.39"/>
    <x v="0"/>
  </r>
  <r>
    <s v="TXN0327"/>
    <d v="2026-07-30T00:00:00"/>
    <s v="P007"/>
    <x v="16"/>
    <x v="4"/>
    <s v="SafePro Supplies"/>
    <n v="276"/>
    <n v="156"/>
    <x v="92"/>
    <n v="312"/>
    <n v="265.05"/>
    <n v="82695.600000000006"/>
    <x v="1"/>
  </r>
  <r>
    <s v="TXN0328"/>
    <d v="2026-03-12T00:00:00"/>
    <s v="P002"/>
    <x v="15"/>
    <x v="4"/>
    <s v="SafePro Supplies"/>
    <n v="285"/>
    <n v="53"/>
    <x v="166"/>
    <n v="195"/>
    <n v="9.65"/>
    <n v="1881.75"/>
    <x v="1"/>
  </r>
  <r>
    <s v="TXN0329"/>
    <d v="2026-09-27T00:00:00"/>
    <s v="P016"/>
    <x v="18"/>
    <x v="1"/>
    <s v="Maju Industrial"/>
    <n v="212"/>
    <n v="80"/>
    <x v="167"/>
    <n v="248"/>
    <n v="152.96"/>
    <n v="37934.080000000002"/>
    <x v="1"/>
  </r>
  <r>
    <s v="TXN0330"/>
    <d v="2026-07-01T00:00:00"/>
    <s v="P011"/>
    <x v="11"/>
    <x v="0"/>
    <s v="TechParts Malaysia"/>
    <n v="366"/>
    <n v="174"/>
    <x v="125"/>
    <n v="376"/>
    <n v="66.650000000000006"/>
    <n v="25060.400000000001"/>
    <x v="0"/>
  </r>
  <r>
    <s v="TXN0331"/>
    <d v="2026-09-05T00:00:00"/>
    <s v="P020"/>
    <x v="14"/>
    <x v="2"/>
    <s v="PackRight Trading"/>
    <n v="118"/>
    <n v="63"/>
    <x v="82"/>
    <n v="110"/>
    <n v="4.84"/>
    <n v="532.4"/>
    <x v="2"/>
  </r>
  <r>
    <s v="TXN0332"/>
    <d v="2026-05-28T00:00:00"/>
    <s v="P010"/>
    <x v="12"/>
    <x v="1"/>
    <s v="TechParts Malaysia"/>
    <n v="380"/>
    <n v="53"/>
    <x v="168"/>
    <n v="257"/>
    <n v="11.62"/>
    <n v="2986.34"/>
    <x v="0"/>
  </r>
  <r>
    <s v="TXN0333"/>
    <d v="2026-06-28T00:00:00"/>
    <s v="P016"/>
    <x v="18"/>
    <x v="1"/>
    <s v="Maju Industrial"/>
    <n v="306"/>
    <n v="70"/>
    <x v="106"/>
    <n v="303"/>
    <n v="144.63"/>
    <n v="43822.89"/>
    <x v="1"/>
  </r>
  <r>
    <s v="TXN0334"/>
    <d v="2026-07-14T00:00:00"/>
    <s v="P018"/>
    <x v="6"/>
    <x v="4"/>
    <s v="SafePro Supplies"/>
    <n v="478"/>
    <n v="101"/>
    <x v="169"/>
    <n v="370"/>
    <n v="162.11000000000001"/>
    <n v="59980.7"/>
    <x v="2"/>
  </r>
  <r>
    <s v="TXN0335"/>
    <d v="2026-01-22T00:00:00"/>
    <s v="P010"/>
    <x v="12"/>
    <x v="1"/>
    <s v="TechParts Malaysia"/>
    <n v="167"/>
    <n v="20"/>
    <x v="52"/>
    <n v="99"/>
    <n v="12.02"/>
    <n v="1189.98"/>
    <x v="1"/>
  </r>
  <r>
    <s v="TXN0336"/>
    <d v="2026-09-03T00:00:00"/>
    <s v="P009"/>
    <x v="2"/>
    <x v="2"/>
    <s v="Johor Packaging"/>
    <n v="129"/>
    <n v="51"/>
    <x v="2"/>
    <n v="43"/>
    <n v="115.48"/>
    <n v="4965.6400000000003"/>
    <x v="1"/>
  </r>
  <r>
    <s v="TXN0337"/>
    <d v="2026-03-12T00:00:00"/>
    <s v="P009"/>
    <x v="2"/>
    <x v="2"/>
    <s v="Johor Packaging"/>
    <n v="75"/>
    <n v="157"/>
    <x v="163"/>
    <n v="43"/>
    <n v="121.54"/>
    <n v="5226.22"/>
    <x v="2"/>
  </r>
  <r>
    <s v="TXN0338"/>
    <d v="2026-09-29T00:00:00"/>
    <s v="P002"/>
    <x v="15"/>
    <x v="4"/>
    <s v="SafePro Supplies"/>
    <n v="135"/>
    <n v="163"/>
    <x v="96"/>
    <n v="239"/>
    <n v="9.2200000000000006"/>
    <n v="2203.58"/>
    <x v="0"/>
  </r>
  <r>
    <s v="TXN0339"/>
    <d v="2026-08-30T00:00:00"/>
    <s v="P011"/>
    <x v="11"/>
    <x v="0"/>
    <s v="TechParts Malaysia"/>
    <n v="71"/>
    <n v="174"/>
    <x v="170"/>
    <n v="48"/>
    <n v="59.88"/>
    <n v="2874.24"/>
    <x v="1"/>
  </r>
  <r>
    <s v="TXN0340"/>
    <d v="2026-07-28T00:00:00"/>
    <s v="P006"/>
    <x v="0"/>
    <x v="0"/>
    <s v="Mega Electric"/>
    <n v="354"/>
    <n v="121"/>
    <x v="171"/>
    <n v="353"/>
    <n v="195.03"/>
    <n v="68845.59"/>
    <x v="0"/>
  </r>
  <r>
    <s v="TXN0341"/>
    <d v="2026-05-27T00:00:00"/>
    <s v="P011"/>
    <x v="11"/>
    <x v="0"/>
    <s v="TechParts Malaysia"/>
    <n v="350"/>
    <n v="15"/>
    <x v="172"/>
    <n v="169"/>
    <n v="59.39"/>
    <n v="10036.91"/>
    <x v="1"/>
  </r>
  <r>
    <s v="TXN0342"/>
    <d v="2026-01-20T00:00:00"/>
    <s v="P008"/>
    <x v="7"/>
    <x v="2"/>
    <s v="PackRight Trading"/>
    <n v="487"/>
    <n v="44"/>
    <x v="108"/>
    <n v="425"/>
    <n v="28.74"/>
    <n v="12214.5"/>
    <x v="2"/>
  </r>
  <r>
    <s v="TXN0343"/>
    <d v="2026-07-23T00:00:00"/>
    <s v="P002"/>
    <x v="15"/>
    <x v="4"/>
    <s v="SafePro Supplies"/>
    <n v="423"/>
    <n v="126"/>
    <x v="152"/>
    <n v="502"/>
    <n v="10.62"/>
    <n v="5331.24"/>
    <x v="0"/>
  </r>
  <r>
    <s v="TXN0344"/>
    <d v="2026-01-05T00:00:00"/>
    <s v="P002"/>
    <x v="15"/>
    <x v="4"/>
    <s v="SafePro Supplies"/>
    <n v="172"/>
    <n v="145"/>
    <x v="99"/>
    <n v="163"/>
    <n v="9.3000000000000007"/>
    <n v="1515.9"/>
    <x v="0"/>
  </r>
  <r>
    <s v="TXN0345"/>
    <d v="2026-08-21T00:00:00"/>
    <s v="P010"/>
    <x v="12"/>
    <x v="1"/>
    <s v="TechParts Malaysia"/>
    <n v="348"/>
    <n v="139"/>
    <x v="173"/>
    <n v="353"/>
    <n v="11.24"/>
    <n v="3967.72"/>
    <x v="2"/>
  </r>
  <r>
    <s v="TXN0346"/>
    <d v="2026-08-28T00:00:00"/>
    <s v="P017"/>
    <x v="9"/>
    <x v="0"/>
    <s v="Mega Electric"/>
    <n v="159"/>
    <n v="49"/>
    <x v="174"/>
    <n v="1"/>
    <n v="60.09"/>
    <n v="60.09"/>
    <x v="2"/>
  </r>
  <r>
    <s v="TXN0347"/>
    <d v="2026-05-12T00:00:00"/>
    <s v="P015"/>
    <x v="8"/>
    <x v="2"/>
    <s v="Johor Packaging"/>
    <n v="387"/>
    <n v="47"/>
    <x v="113"/>
    <n v="431"/>
    <n v="189.95"/>
    <n v="81868.45"/>
    <x v="0"/>
  </r>
  <r>
    <s v="TXN0348"/>
    <d v="2026-04-09T00:00:00"/>
    <s v="P019"/>
    <x v="4"/>
    <x v="3"/>
    <s v="LogiEquip"/>
    <n v="109"/>
    <n v="156"/>
    <x v="102"/>
    <n v="46"/>
    <n v="232.26"/>
    <n v="10683.96"/>
    <x v="0"/>
  </r>
  <r>
    <s v="TXN0349"/>
    <d v="2026-09-21T00:00:00"/>
    <s v="P014"/>
    <x v="10"/>
    <x v="3"/>
    <s v="LogiEquip"/>
    <n v="187"/>
    <n v="22"/>
    <x v="9"/>
    <n v="107"/>
    <n v="59.65"/>
    <n v="6382.55"/>
    <x v="2"/>
  </r>
  <r>
    <s v="TXN0350"/>
    <d v="2026-09-02T00:00:00"/>
    <s v="P005"/>
    <x v="13"/>
    <x v="0"/>
    <s v="Mega Electric"/>
    <n v="185"/>
    <n v="63"/>
    <x v="24"/>
    <n v="247"/>
    <n v="199.08"/>
    <n v="49172.76"/>
    <x v="2"/>
  </r>
  <r>
    <s v="TXN0351"/>
    <d v="2026-05-17T00:00:00"/>
    <s v="P015"/>
    <x v="8"/>
    <x v="2"/>
    <s v="Johor Packaging"/>
    <n v="188"/>
    <n v="77"/>
    <x v="40"/>
    <n v="116"/>
    <n v="189.54"/>
    <n v="21986.639999999999"/>
    <x v="2"/>
  </r>
  <r>
    <s v="TXN0352"/>
    <d v="2026-07-04T00:00:00"/>
    <s v="P009"/>
    <x v="2"/>
    <x v="2"/>
    <s v="Johor Packaging"/>
    <n v="374"/>
    <n v="60"/>
    <x v="94"/>
    <n v="419"/>
    <n v="123.09"/>
    <n v="51574.71"/>
    <x v="0"/>
  </r>
  <r>
    <s v="TXN0353"/>
    <d v="2026-03-23T00:00:00"/>
    <s v="P010"/>
    <x v="12"/>
    <x v="1"/>
    <s v="TechParts Malaysia"/>
    <n v="227"/>
    <n v="175"/>
    <x v="37"/>
    <n v="274"/>
    <n v="12.02"/>
    <n v="3293.48"/>
    <x v="1"/>
  </r>
  <r>
    <s v="TXN0354"/>
    <d v="2026-03-02T00:00:00"/>
    <s v="P010"/>
    <x v="12"/>
    <x v="1"/>
    <s v="TechParts Malaysia"/>
    <n v="347"/>
    <n v="75"/>
    <x v="123"/>
    <n v="328"/>
    <n v="11.46"/>
    <n v="3758.88"/>
    <x v="2"/>
  </r>
  <r>
    <s v="TXN0355"/>
    <d v="2026-09-02T00:00:00"/>
    <s v="P005"/>
    <x v="13"/>
    <x v="0"/>
    <s v="Mega Electric"/>
    <n v="98"/>
    <n v="116"/>
    <x v="175"/>
    <n v="23"/>
    <n v="223.19"/>
    <n v="5133.37"/>
    <x v="0"/>
  </r>
  <r>
    <s v="TXN0356"/>
    <d v="2026-08-30T00:00:00"/>
    <s v="P014"/>
    <x v="10"/>
    <x v="3"/>
    <s v="LogiEquip"/>
    <n v="407"/>
    <n v="137"/>
    <x v="62"/>
    <n v="339"/>
    <n v="59.6"/>
    <n v="20204.400000000001"/>
    <x v="2"/>
  </r>
  <r>
    <s v="TXN0357"/>
    <d v="2026-02-11T00:00:00"/>
    <s v="P008"/>
    <x v="7"/>
    <x v="2"/>
    <s v="PackRight Trading"/>
    <n v="289"/>
    <n v="114"/>
    <x v="87"/>
    <n v="268"/>
    <n v="27.97"/>
    <n v="7495.96"/>
    <x v="2"/>
  </r>
  <r>
    <s v="TXN0358"/>
    <d v="2026-02-27T00:00:00"/>
    <s v="P019"/>
    <x v="4"/>
    <x v="3"/>
    <s v="LogiEquip"/>
    <n v="51"/>
    <n v="140"/>
    <x v="16"/>
    <n v="62"/>
    <n v="216.38"/>
    <n v="13415.56"/>
    <x v="1"/>
  </r>
  <r>
    <s v="TXN0359"/>
    <d v="2026-03-26T00:00:00"/>
    <s v="P005"/>
    <x v="13"/>
    <x v="0"/>
    <s v="Mega Electric"/>
    <n v="187"/>
    <n v="133"/>
    <x v="31"/>
    <n v="207"/>
    <n v="194.29"/>
    <n v="40218.03"/>
    <x v="2"/>
  </r>
  <r>
    <s v="TXN0360"/>
    <d v="2026-09-08T00:00:00"/>
    <s v="P019"/>
    <x v="4"/>
    <x v="3"/>
    <s v="LogiEquip"/>
    <n v="66"/>
    <n v="130"/>
    <x v="30"/>
    <n v="82"/>
    <n v="238.43"/>
    <n v="19551.259999999998"/>
    <x v="0"/>
  </r>
  <r>
    <s v="TXN0361"/>
    <d v="2026-09-20T00:00:00"/>
    <s v="P005"/>
    <x v="13"/>
    <x v="0"/>
    <s v="Mega Electric"/>
    <n v="232"/>
    <n v="116"/>
    <x v="76"/>
    <n v="204"/>
    <n v="192.35"/>
    <n v="39239.4"/>
    <x v="0"/>
  </r>
  <r>
    <s v="TXN0362"/>
    <d v="2026-01-12T00:00:00"/>
    <s v="P010"/>
    <x v="12"/>
    <x v="1"/>
    <s v="TechParts Malaysia"/>
    <n v="222"/>
    <n v="65"/>
    <x v="169"/>
    <n v="78"/>
    <n v="10.36"/>
    <n v="808.08"/>
    <x v="2"/>
  </r>
  <r>
    <s v="TXN0363"/>
    <d v="2026-02-07T00:00:00"/>
    <s v="P019"/>
    <x v="4"/>
    <x v="3"/>
    <s v="LogiEquip"/>
    <n v="43"/>
    <n v="108"/>
    <x v="52"/>
    <n v="63"/>
    <n v="234.5"/>
    <n v="14773.5"/>
    <x v="1"/>
  </r>
  <r>
    <s v="TXN0364"/>
    <d v="2026-02-05T00:00:00"/>
    <s v="P002"/>
    <x v="15"/>
    <x v="4"/>
    <s v="SafePro Supplies"/>
    <n v="498"/>
    <n v="120"/>
    <x v="124"/>
    <n v="610"/>
    <n v="9.59"/>
    <n v="5849.9"/>
    <x v="2"/>
  </r>
  <r>
    <s v="TXN0365"/>
    <d v="2026-08-04T00:00:00"/>
    <s v="P005"/>
    <x v="13"/>
    <x v="0"/>
    <s v="Mega Electric"/>
    <n v="211"/>
    <n v="97"/>
    <x v="30"/>
    <n v="194"/>
    <n v="219.24"/>
    <n v="42532.56"/>
    <x v="0"/>
  </r>
  <r>
    <s v="TXN0366"/>
    <d v="2026-02-11T00:00:00"/>
    <s v="P013"/>
    <x v="19"/>
    <x v="3"/>
    <s v="LogiEquip"/>
    <n v="369"/>
    <n v="169"/>
    <x v="36"/>
    <n v="400"/>
    <n v="9.74"/>
    <n v="3896"/>
    <x v="0"/>
  </r>
  <r>
    <s v="TXN0367"/>
    <d v="2026-04-02T00:00:00"/>
    <s v="P004"/>
    <x v="1"/>
    <x v="1"/>
    <s v="Maju Industrial"/>
    <n v="295"/>
    <n v="100"/>
    <x v="87"/>
    <n v="260"/>
    <n v="60.96"/>
    <n v="15849.6"/>
    <x v="2"/>
  </r>
  <r>
    <s v="TXN0368"/>
    <d v="2026-01-12T00:00:00"/>
    <s v="P001"/>
    <x v="17"/>
    <x v="1"/>
    <s v="Maju Industrial"/>
    <n v="172"/>
    <n v="118"/>
    <x v="57"/>
    <n v="118"/>
    <n v="186.44"/>
    <n v="21999.919999999998"/>
    <x v="0"/>
  </r>
  <r>
    <s v="TXN0369"/>
    <d v="2026-07-14T00:00:00"/>
    <s v="P018"/>
    <x v="6"/>
    <x v="4"/>
    <s v="SafePro Supplies"/>
    <n v="441"/>
    <n v="58"/>
    <x v="11"/>
    <n v="436"/>
    <n v="165.18"/>
    <n v="72018.48"/>
    <x v="2"/>
  </r>
  <r>
    <s v="TXN0370"/>
    <d v="2026-04-07T00:00:00"/>
    <s v="P009"/>
    <x v="2"/>
    <x v="2"/>
    <s v="Johor Packaging"/>
    <n v="499"/>
    <n v="28"/>
    <x v="124"/>
    <n v="519"/>
    <n v="125.81"/>
    <n v="65295.39"/>
    <x v="0"/>
  </r>
  <r>
    <s v="TXN0371"/>
    <d v="2026-01-09T00:00:00"/>
    <s v="P020"/>
    <x v="14"/>
    <x v="2"/>
    <s v="PackRight Trading"/>
    <n v="143"/>
    <n v="52"/>
    <x v="141"/>
    <n v="178"/>
    <n v="4.49"/>
    <n v="799.22"/>
    <x v="2"/>
  </r>
  <r>
    <s v="TXN0372"/>
    <d v="2026-01-25T00:00:00"/>
    <s v="P015"/>
    <x v="8"/>
    <x v="2"/>
    <s v="Johor Packaging"/>
    <n v="145"/>
    <n v="11"/>
    <x v="9"/>
    <n v="54"/>
    <n v="181.23"/>
    <n v="9786.42"/>
    <x v="1"/>
  </r>
  <r>
    <s v="TXN0373"/>
    <d v="2026-01-29T00:00:00"/>
    <s v="P007"/>
    <x v="16"/>
    <x v="4"/>
    <s v="SafePro Supplies"/>
    <n v="91"/>
    <n v="128"/>
    <x v="151"/>
    <n v="145"/>
    <n v="239.49"/>
    <n v="34726.050000000003"/>
    <x v="1"/>
  </r>
  <r>
    <s v="TXN0374"/>
    <d v="2026-06-13T00:00:00"/>
    <s v="P019"/>
    <x v="4"/>
    <x v="3"/>
    <s v="LogiEquip"/>
    <n v="315"/>
    <n v="153"/>
    <x v="170"/>
    <n v="271"/>
    <n v="233.48"/>
    <n v="63273.08"/>
    <x v="0"/>
  </r>
  <r>
    <s v="TXN0375"/>
    <d v="2026-06-04T00:00:00"/>
    <s v="P008"/>
    <x v="7"/>
    <x v="2"/>
    <s v="PackRight Trading"/>
    <n v="468"/>
    <n v="36"/>
    <x v="35"/>
    <n v="335"/>
    <n v="27.17"/>
    <n v="9101.9500000000007"/>
    <x v="0"/>
  </r>
  <r>
    <s v="TXN0376"/>
    <d v="2026-05-21T00:00:00"/>
    <s v="P010"/>
    <x v="12"/>
    <x v="1"/>
    <s v="TechParts Malaysia"/>
    <n v="51"/>
    <n v="142"/>
    <x v="176"/>
    <n v="42"/>
    <n v="11.94"/>
    <n v="501.48"/>
    <x v="2"/>
  </r>
  <r>
    <s v="TXN0377"/>
    <d v="2026-09-11T00:00:00"/>
    <s v="P014"/>
    <x v="10"/>
    <x v="3"/>
    <s v="LogiEquip"/>
    <n v="44"/>
    <n v="88"/>
    <x v="5"/>
    <n v="35"/>
    <n v="60.73"/>
    <n v="2125.5500000000002"/>
    <x v="0"/>
  </r>
  <r>
    <s v="TXN0378"/>
    <d v="2026-07-29T00:00:00"/>
    <s v="P014"/>
    <x v="10"/>
    <x v="3"/>
    <s v="LogiEquip"/>
    <n v="96"/>
    <n v="76"/>
    <x v="177"/>
    <n v="76"/>
    <n v="55.14"/>
    <n v="4190.6400000000003"/>
    <x v="1"/>
  </r>
  <r>
    <s v="TXN0379"/>
    <d v="2026-05-04T00:00:00"/>
    <s v="P016"/>
    <x v="18"/>
    <x v="1"/>
    <s v="Maju Industrial"/>
    <n v="454"/>
    <n v="57"/>
    <x v="178"/>
    <n v="435"/>
    <n v="162.76"/>
    <n v="70800.600000000006"/>
    <x v="2"/>
  </r>
  <r>
    <s v="TXN0380"/>
    <d v="2026-01-30T00:00:00"/>
    <s v="P015"/>
    <x v="8"/>
    <x v="2"/>
    <s v="Johor Packaging"/>
    <n v="307"/>
    <n v="105"/>
    <x v="108"/>
    <n v="306"/>
    <n v="184.7"/>
    <n v="56518.2"/>
    <x v="2"/>
  </r>
  <r>
    <s v="TXN0381"/>
    <d v="2026-05-05T00:00:00"/>
    <s v="P013"/>
    <x v="19"/>
    <x v="3"/>
    <s v="LogiEquip"/>
    <n v="150"/>
    <n v="52"/>
    <x v="126"/>
    <n v="118"/>
    <n v="10.59"/>
    <n v="1249.6199999999999"/>
    <x v="0"/>
  </r>
  <r>
    <s v="TXN0382"/>
    <d v="2026-02-17T00:00:00"/>
    <s v="P012"/>
    <x v="5"/>
    <x v="4"/>
    <s v="SafePro Supplies"/>
    <n v="294"/>
    <n v="48"/>
    <x v="148"/>
    <n v="329"/>
    <n v="137.69"/>
    <n v="45300.01"/>
    <x v="1"/>
  </r>
  <r>
    <s v="TXN0383"/>
    <d v="2026-01-21T00:00:00"/>
    <s v="P020"/>
    <x v="14"/>
    <x v="2"/>
    <s v="PackRight Trading"/>
    <n v="467"/>
    <n v="18"/>
    <x v="111"/>
    <n v="437"/>
    <n v="5.03"/>
    <n v="2198.11"/>
    <x v="1"/>
  </r>
  <r>
    <s v="TXN0384"/>
    <d v="2026-04-22T00:00:00"/>
    <s v="P018"/>
    <x v="6"/>
    <x v="4"/>
    <s v="SafePro Supplies"/>
    <n v="265"/>
    <n v="53"/>
    <x v="149"/>
    <n v="233"/>
    <n v="160.99"/>
    <n v="37510.67"/>
    <x v="2"/>
  </r>
  <r>
    <s v="TXN0385"/>
    <d v="2026-04-08T00:00:00"/>
    <s v="P007"/>
    <x v="16"/>
    <x v="4"/>
    <s v="SafePro Supplies"/>
    <n v="399"/>
    <n v="30"/>
    <x v="175"/>
    <n v="238"/>
    <n v="270.13"/>
    <n v="64290.94"/>
    <x v="0"/>
  </r>
  <r>
    <s v="TXN0386"/>
    <d v="2026-04-15T00:00:00"/>
    <s v="P008"/>
    <x v="7"/>
    <x v="2"/>
    <s v="PackRight Trading"/>
    <n v="223"/>
    <n v="61"/>
    <x v="42"/>
    <n v="143"/>
    <n v="26.31"/>
    <n v="3762.33"/>
    <x v="0"/>
  </r>
  <r>
    <s v="TXN0387"/>
    <d v="2026-08-27T00:00:00"/>
    <s v="P013"/>
    <x v="19"/>
    <x v="3"/>
    <s v="LogiEquip"/>
    <n v="293"/>
    <n v="166"/>
    <x v="1"/>
    <n v="368"/>
    <n v="10.029999999999999"/>
    <n v="3691.04"/>
    <x v="0"/>
  </r>
  <r>
    <s v="TXN0388"/>
    <d v="2026-09-12T00:00:00"/>
    <s v="P017"/>
    <x v="9"/>
    <x v="0"/>
    <s v="Mega Electric"/>
    <n v="258"/>
    <n v="25"/>
    <x v="62"/>
    <n v="78"/>
    <n v="69"/>
    <n v="5382"/>
    <x v="0"/>
  </r>
  <r>
    <s v="TXN0389"/>
    <d v="2026-04-15T00:00:00"/>
    <s v="P011"/>
    <x v="11"/>
    <x v="0"/>
    <s v="TechParts Malaysia"/>
    <n v="209"/>
    <n v="80"/>
    <x v="28"/>
    <n v="184"/>
    <n v="58.94"/>
    <n v="10844.96"/>
    <x v="2"/>
  </r>
  <r>
    <s v="TXN0390"/>
    <d v="2026-01-09T00:00:00"/>
    <s v="P005"/>
    <x v="13"/>
    <x v="0"/>
    <s v="Mega Electric"/>
    <n v="153"/>
    <n v="141"/>
    <x v="40"/>
    <n v="145"/>
    <n v="209.62"/>
    <n v="30394.9"/>
    <x v="0"/>
  </r>
  <r>
    <s v="TXN0391"/>
    <d v="2026-03-20T00:00:00"/>
    <s v="P010"/>
    <x v="12"/>
    <x v="1"/>
    <s v="TechParts Malaysia"/>
    <n v="120"/>
    <n v="84"/>
    <x v="129"/>
    <n v="146"/>
    <n v="11.04"/>
    <n v="1611.84"/>
    <x v="2"/>
  </r>
  <r>
    <s v="TXN0392"/>
    <d v="2026-06-22T00:00:00"/>
    <s v="P016"/>
    <x v="18"/>
    <x v="1"/>
    <s v="Maju Industrial"/>
    <n v="151"/>
    <n v="125"/>
    <x v="179"/>
    <n v="91"/>
    <n v="157.44"/>
    <n v="14327.04"/>
    <x v="0"/>
  </r>
  <r>
    <s v="TXN0393"/>
    <d v="2026-03-28T00:00:00"/>
    <s v="P015"/>
    <x v="8"/>
    <x v="2"/>
    <s v="Johor Packaging"/>
    <n v="395"/>
    <n v="90"/>
    <x v="180"/>
    <n v="442"/>
    <n v="172.47"/>
    <n v="76231.740000000005"/>
    <x v="1"/>
  </r>
  <r>
    <s v="TXN0394"/>
    <d v="2026-04-05T00:00:00"/>
    <s v="P016"/>
    <x v="18"/>
    <x v="1"/>
    <s v="Maju Industrial"/>
    <n v="489"/>
    <n v="138"/>
    <x v="125"/>
    <n v="463"/>
    <n v="165.21"/>
    <n v="76492.23"/>
    <x v="1"/>
  </r>
  <r>
    <s v="TXN0395"/>
    <d v="2026-02-08T00:00:00"/>
    <s v="P002"/>
    <x v="15"/>
    <x v="4"/>
    <s v="SafePro Supplies"/>
    <n v="438"/>
    <n v="171"/>
    <x v="134"/>
    <n v="597"/>
    <n v="10.35"/>
    <n v="6178.95"/>
    <x v="0"/>
  </r>
  <r>
    <s v="TXN0396"/>
    <d v="2026-04-29T00:00:00"/>
    <s v="P005"/>
    <x v="13"/>
    <x v="0"/>
    <s v="Mega Electric"/>
    <n v="54"/>
    <n v="38"/>
    <x v="24"/>
    <n v="91"/>
    <n v="197.69"/>
    <n v="17989.79"/>
    <x v="0"/>
  </r>
  <r>
    <s v="TXN0397"/>
    <d v="2026-01-31T00:00:00"/>
    <s v="P012"/>
    <x v="5"/>
    <x v="4"/>
    <s v="SafePro Supplies"/>
    <n v="336"/>
    <n v="163"/>
    <x v="49"/>
    <n v="329"/>
    <n v="152.91"/>
    <n v="50307.39"/>
    <x v="0"/>
  </r>
  <r>
    <s v="TXN0398"/>
    <d v="2026-01-09T00:00:00"/>
    <s v="P016"/>
    <x v="18"/>
    <x v="1"/>
    <s v="Maju Industrial"/>
    <n v="23"/>
    <n v="136"/>
    <x v="42"/>
    <n v="18"/>
    <n v="151.76"/>
    <n v="2731.68"/>
    <x v="2"/>
  </r>
  <r>
    <s v="TXN0399"/>
    <d v="2026-05-21T00:00:00"/>
    <s v="P017"/>
    <x v="9"/>
    <x v="0"/>
    <s v="Mega Electric"/>
    <n v="294"/>
    <n v="73"/>
    <x v="181"/>
    <n v="363"/>
    <n v="64.08"/>
    <n v="23261.040000000001"/>
    <x v="1"/>
  </r>
  <r>
    <s v="TXN0400"/>
    <d v="2026-04-02T00:00:00"/>
    <s v="P014"/>
    <x v="10"/>
    <x v="3"/>
    <s v="LogiEquip"/>
    <n v="74"/>
    <n v="24"/>
    <x v="95"/>
    <n v="31"/>
    <n v="54.82"/>
    <n v="1699.42"/>
    <x v="2"/>
  </r>
  <r>
    <s v="TXN0401"/>
    <d v="2026-09-27T00:00:00"/>
    <s v="P020"/>
    <x v="14"/>
    <x v="2"/>
    <s v="PackRight Trading"/>
    <n v="149"/>
    <n v="90"/>
    <x v="182"/>
    <n v="171"/>
    <n v="5.03"/>
    <n v="860.13"/>
    <x v="2"/>
  </r>
  <r>
    <s v="TXN0402"/>
    <d v="2026-07-27T00:00:00"/>
    <s v="P012"/>
    <x v="5"/>
    <x v="4"/>
    <s v="SafePro Supplies"/>
    <n v="255"/>
    <n v="144"/>
    <x v="165"/>
    <n v="337"/>
    <n v="154.19999999999999"/>
    <n v="51965.4"/>
    <x v="2"/>
  </r>
  <r>
    <s v="TXN0403"/>
    <d v="2026-02-11T00:00:00"/>
    <s v="P010"/>
    <x v="12"/>
    <x v="1"/>
    <s v="TechParts Malaysia"/>
    <n v="354"/>
    <n v="166"/>
    <x v="115"/>
    <n v="326"/>
    <n v="10.41"/>
    <n v="3393.66"/>
    <x v="0"/>
  </r>
  <r>
    <s v="TXN0404"/>
    <d v="2026-07-13T00:00:00"/>
    <s v="P013"/>
    <x v="19"/>
    <x v="3"/>
    <s v="LogiEquip"/>
    <n v="302"/>
    <n v="121"/>
    <x v="12"/>
    <n v="409"/>
    <n v="10.58"/>
    <n v="4327.22"/>
    <x v="1"/>
  </r>
  <r>
    <s v="TXN0405"/>
    <d v="2026-02-12T00:00:00"/>
    <s v="P006"/>
    <x v="0"/>
    <x v="0"/>
    <s v="Mega Electric"/>
    <n v="275"/>
    <n v="111"/>
    <x v="85"/>
    <n v="221"/>
    <n v="199.11"/>
    <n v="44003.31"/>
    <x v="1"/>
  </r>
  <r>
    <s v="TXN0406"/>
    <d v="2026-09-28T00:00:00"/>
    <s v="P004"/>
    <x v="1"/>
    <x v="1"/>
    <s v="Maju Industrial"/>
    <n v="490"/>
    <n v="10"/>
    <x v="129"/>
    <n v="442"/>
    <n v="61.84"/>
    <n v="27333.279999999999"/>
    <x v="1"/>
  </r>
  <r>
    <s v="TXN0407"/>
    <d v="2026-09-01T00:00:00"/>
    <s v="P019"/>
    <x v="4"/>
    <x v="3"/>
    <s v="LogiEquip"/>
    <n v="158"/>
    <n v="11"/>
    <x v="65"/>
    <n v="150"/>
    <n v="233.92"/>
    <n v="35088"/>
    <x v="0"/>
  </r>
  <r>
    <s v="TXN0408"/>
    <d v="2026-01-17T00:00:00"/>
    <s v="P018"/>
    <x v="6"/>
    <x v="4"/>
    <s v="SafePro Supplies"/>
    <n v="111"/>
    <n v="80"/>
    <x v="181"/>
    <n v="187"/>
    <n v="178.5"/>
    <n v="33379.5"/>
    <x v="1"/>
  </r>
  <r>
    <s v="TXN0409"/>
    <d v="2026-07-23T00:00:00"/>
    <s v="P005"/>
    <x v="13"/>
    <x v="0"/>
    <s v="Mega Electric"/>
    <n v="495"/>
    <n v="19"/>
    <x v="178"/>
    <n v="438"/>
    <n v="195.82"/>
    <n v="85769.16"/>
    <x v="2"/>
  </r>
  <r>
    <s v="TXN0410"/>
    <d v="2026-07-19T00:00:00"/>
    <s v="P019"/>
    <x v="4"/>
    <x v="3"/>
    <s v="LogiEquip"/>
    <n v="366"/>
    <n v="138"/>
    <x v="126"/>
    <n v="420"/>
    <n v="222.99"/>
    <n v="93655.8"/>
    <x v="1"/>
  </r>
  <r>
    <s v="TXN0411"/>
    <d v="2026-02-10T00:00:00"/>
    <s v="P005"/>
    <x v="13"/>
    <x v="0"/>
    <s v="Mega Electric"/>
    <n v="276"/>
    <n v="88"/>
    <x v="148"/>
    <n v="351"/>
    <n v="193.68"/>
    <n v="67981.679999999993"/>
    <x v="2"/>
  </r>
  <r>
    <s v="TXN0412"/>
    <d v="2026-06-24T00:00:00"/>
    <s v="P003"/>
    <x v="3"/>
    <x v="2"/>
    <s v="PackRight Trading"/>
    <n v="329"/>
    <n v="157"/>
    <x v="13"/>
    <n v="334"/>
    <n v="77.87"/>
    <n v="26008.58"/>
    <x v="0"/>
  </r>
  <r>
    <s v="TXN0413"/>
    <d v="2026-05-20T00:00:00"/>
    <s v="P001"/>
    <x v="17"/>
    <x v="1"/>
    <s v="Maju Industrial"/>
    <n v="421"/>
    <n v="115"/>
    <x v="79"/>
    <n v="411"/>
    <n v="172.29"/>
    <n v="70811.19"/>
    <x v="1"/>
  </r>
  <r>
    <s v="TXN0414"/>
    <d v="2026-08-10T00:00:00"/>
    <s v="P013"/>
    <x v="19"/>
    <x v="3"/>
    <s v="LogiEquip"/>
    <n v="115"/>
    <n v="174"/>
    <x v="40"/>
    <n v="140"/>
    <n v="10.62"/>
    <n v="1486.8"/>
    <x v="2"/>
  </r>
  <r>
    <s v="TXN0415"/>
    <d v="2026-06-01T00:00:00"/>
    <s v="P020"/>
    <x v="14"/>
    <x v="2"/>
    <s v="PackRight Trading"/>
    <n v="428"/>
    <n v="63"/>
    <x v="183"/>
    <n v="309"/>
    <n v="4.47"/>
    <n v="1381.23"/>
    <x v="0"/>
  </r>
  <r>
    <s v="TXN0416"/>
    <d v="2026-07-14T00:00:00"/>
    <s v="P005"/>
    <x v="13"/>
    <x v="0"/>
    <s v="Mega Electric"/>
    <n v="384"/>
    <n v="162"/>
    <x v="0"/>
    <n v="507"/>
    <n v="214.94"/>
    <n v="108974.58"/>
    <x v="0"/>
  </r>
  <r>
    <s v="TXN0417"/>
    <d v="2026-02-24T00:00:00"/>
    <s v="P012"/>
    <x v="5"/>
    <x v="4"/>
    <s v="SafePro Supplies"/>
    <n v="66"/>
    <n v="1"/>
    <x v="0"/>
    <n v="28"/>
    <n v="141.72"/>
    <n v="3968.16"/>
    <x v="0"/>
  </r>
  <r>
    <s v="TXN0418"/>
    <d v="2026-03-09T00:00:00"/>
    <s v="P004"/>
    <x v="1"/>
    <x v="1"/>
    <s v="Maju Industrial"/>
    <n v="64"/>
    <n v="47"/>
    <x v="25"/>
    <n v="56"/>
    <n v="64.3"/>
    <n v="3600.8"/>
    <x v="1"/>
  </r>
  <r>
    <s v="TXN0419"/>
    <d v="2026-07-28T00:00:00"/>
    <s v="P017"/>
    <x v="9"/>
    <x v="0"/>
    <s v="Mega Electric"/>
    <n v="72"/>
    <n v="6"/>
    <x v="4"/>
    <n v="67"/>
    <n v="62.56"/>
    <n v="4191.5200000000004"/>
    <x v="2"/>
  </r>
  <r>
    <s v="TXN0420"/>
    <d v="2026-06-16T00:00:00"/>
    <s v="P020"/>
    <x v="14"/>
    <x v="2"/>
    <s v="PackRight Trading"/>
    <n v="462"/>
    <n v="98"/>
    <x v="113"/>
    <n v="557"/>
    <n v="4.6399999999999997"/>
    <n v="2584.48"/>
    <x v="0"/>
  </r>
  <r>
    <s v="TXN0421"/>
    <d v="2026-05-05T00:00:00"/>
    <s v="P003"/>
    <x v="3"/>
    <x v="2"/>
    <s v="PackRight Trading"/>
    <n v="312"/>
    <n v="133"/>
    <x v="180"/>
    <n v="402"/>
    <n v="81.53"/>
    <n v="32775.06"/>
    <x v="2"/>
  </r>
  <r>
    <s v="TXN0422"/>
    <d v="2026-05-18T00:00:00"/>
    <s v="P005"/>
    <x v="13"/>
    <x v="0"/>
    <s v="Mega Electric"/>
    <n v="174"/>
    <n v="68"/>
    <x v="83"/>
    <n v="116"/>
    <n v="195.28"/>
    <n v="22652.48"/>
    <x v="2"/>
  </r>
  <r>
    <s v="TXN0423"/>
    <d v="2026-05-22T00:00:00"/>
    <s v="P014"/>
    <x v="10"/>
    <x v="3"/>
    <s v="LogiEquip"/>
    <n v="235"/>
    <n v="76"/>
    <x v="33"/>
    <n v="188"/>
    <n v="60.7"/>
    <n v="11411.6"/>
    <x v="0"/>
  </r>
  <r>
    <s v="TXN0424"/>
    <d v="2026-05-07T00:00:00"/>
    <s v="P009"/>
    <x v="2"/>
    <x v="2"/>
    <s v="Johor Packaging"/>
    <n v="389"/>
    <n v="160"/>
    <x v="83"/>
    <n v="423"/>
    <n v="121.67"/>
    <n v="51466.41"/>
    <x v="2"/>
  </r>
  <r>
    <s v="TXN0425"/>
    <d v="2026-02-24T00:00:00"/>
    <s v="P015"/>
    <x v="8"/>
    <x v="2"/>
    <s v="Johor Packaging"/>
    <n v="89"/>
    <n v="77"/>
    <x v="24"/>
    <n v="165"/>
    <n v="196.16"/>
    <n v="32366.400000000001"/>
    <x v="0"/>
  </r>
  <r>
    <s v="TXN0426"/>
    <d v="2026-07-14T00:00:00"/>
    <s v="P020"/>
    <x v="14"/>
    <x v="2"/>
    <s v="PackRight Trading"/>
    <n v="431"/>
    <n v="84"/>
    <x v="184"/>
    <n v="403"/>
    <n v="4.67"/>
    <n v="1882.01"/>
    <x v="1"/>
  </r>
  <r>
    <s v="TXN0427"/>
    <d v="2026-03-11T00:00:00"/>
    <s v="P020"/>
    <x v="14"/>
    <x v="2"/>
    <s v="PackRight Trading"/>
    <n v="173"/>
    <n v="82"/>
    <x v="99"/>
    <n v="101"/>
    <n v="5.14"/>
    <n v="519.14"/>
    <x v="2"/>
  </r>
  <r>
    <s v="TXN0428"/>
    <d v="2026-06-10T00:00:00"/>
    <s v="P016"/>
    <x v="18"/>
    <x v="1"/>
    <s v="Maju Industrial"/>
    <n v="110"/>
    <n v="101"/>
    <x v="133"/>
    <n v="130"/>
    <n v="148.81"/>
    <n v="19345.3"/>
    <x v="1"/>
  </r>
  <r>
    <s v="TXN0429"/>
    <d v="2026-05-05T00:00:00"/>
    <s v="P016"/>
    <x v="18"/>
    <x v="1"/>
    <s v="Maju Industrial"/>
    <n v="186"/>
    <n v="96"/>
    <x v="82"/>
    <n v="211"/>
    <n v="161.74"/>
    <n v="34127.14"/>
    <x v="0"/>
  </r>
  <r>
    <s v="TXN0430"/>
    <d v="2026-02-28T00:00:00"/>
    <s v="P012"/>
    <x v="5"/>
    <x v="4"/>
    <s v="SafePro Supplies"/>
    <n v="497"/>
    <n v="144"/>
    <x v="185"/>
    <n v="590"/>
    <n v="145.09"/>
    <n v="85603.1"/>
    <x v="1"/>
  </r>
  <r>
    <s v="TXN0431"/>
    <d v="2026-01-14T00:00:00"/>
    <s v="P006"/>
    <x v="0"/>
    <x v="0"/>
    <s v="Mega Electric"/>
    <n v="392"/>
    <n v="118"/>
    <x v="139"/>
    <n v="329"/>
    <n v="181.6"/>
    <n v="59746.400000000001"/>
    <x v="0"/>
  </r>
  <r>
    <s v="TXN0432"/>
    <d v="2026-07-29T00:00:00"/>
    <s v="P003"/>
    <x v="3"/>
    <x v="2"/>
    <s v="PackRight Trading"/>
    <n v="364"/>
    <n v="127"/>
    <x v="186"/>
    <n v="456"/>
    <n v="80.87"/>
    <n v="36876.720000000001"/>
    <x v="2"/>
  </r>
  <r>
    <s v="TXN0433"/>
    <d v="2026-03-20T00:00:00"/>
    <s v="P009"/>
    <x v="2"/>
    <x v="2"/>
    <s v="Johor Packaging"/>
    <n v="386"/>
    <n v="108"/>
    <x v="156"/>
    <n v="292"/>
    <n v="117.51"/>
    <n v="34312.92"/>
    <x v="0"/>
  </r>
  <r>
    <s v="TXN0434"/>
    <d v="2026-09-03T00:00:00"/>
    <s v="P020"/>
    <x v="14"/>
    <x v="2"/>
    <s v="PackRight Trading"/>
    <n v="318"/>
    <n v="102"/>
    <x v="164"/>
    <n v="284"/>
    <n v="4.8099999999999996"/>
    <n v="1366.04"/>
    <x v="1"/>
  </r>
  <r>
    <s v="TXN0435"/>
    <d v="2026-01-19T00:00:00"/>
    <s v="P014"/>
    <x v="10"/>
    <x v="3"/>
    <s v="LogiEquip"/>
    <n v="424"/>
    <n v="92"/>
    <x v="187"/>
    <n v="337"/>
    <n v="61.75"/>
    <n v="20809.75"/>
    <x v="1"/>
  </r>
  <r>
    <s v="TXN0436"/>
    <d v="2026-02-13T00:00:00"/>
    <s v="P020"/>
    <x v="14"/>
    <x v="2"/>
    <s v="PackRight Trading"/>
    <n v="75"/>
    <n v="63"/>
    <x v="142"/>
    <n v="48"/>
    <n v="4.54"/>
    <n v="217.92"/>
    <x v="1"/>
  </r>
  <r>
    <s v="TXN0437"/>
    <d v="2026-07-24T00:00:00"/>
    <s v="P002"/>
    <x v="15"/>
    <x v="4"/>
    <s v="SafePro Supplies"/>
    <n v="405"/>
    <n v="84"/>
    <x v="188"/>
    <n v="286"/>
    <n v="9.82"/>
    <n v="2808.52"/>
    <x v="2"/>
  </r>
  <r>
    <s v="TXN0438"/>
    <d v="2026-05-13T00:00:00"/>
    <s v="P004"/>
    <x v="1"/>
    <x v="1"/>
    <s v="Maju Industrial"/>
    <n v="133"/>
    <n v="130"/>
    <x v="175"/>
    <n v="72"/>
    <n v="65.02"/>
    <n v="4681.4399999999996"/>
    <x v="1"/>
  </r>
  <r>
    <s v="TXN0439"/>
    <d v="2026-04-24T00:00:00"/>
    <s v="P019"/>
    <x v="4"/>
    <x v="3"/>
    <s v="LogiEquip"/>
    <n v="248"/>
    <n v="95"/>
    <x v="189"/>
    <n v="243"/>
    <n v="225.87"/>
    <n v="54886.41"/>
    <x v="1"/>
  </r>
  <r>
    <s v="TXN0440"/>
    <d v="2026-09-14T00:00:00"/>
    <s v="P019"/>
    <x v="4"/>
    <x v="3"/>
    <s v="LogiEquip"/>
    <n v="97"/>
    <n v="88"/>
    <x v="70"/>
    <n v="179"/>
    <n v="226.59"/>
    <n v="40559.61"/>
    <x v="0"/>
  </r>
  <r>
    <s v="TXN0441"/>
    <d v="2026-02-13T00:00:00"/>
    <s v="P014"/>
    <x v="10"/>
    <x v="3"/>
    <s v="LogiEquip"/>
    <n v="79"/>
    <n v="36"/>
    <x v="167"/>
    <n v="71"/>
    <n v="56.33"/>
    <n v="3999.43"/>
    <x v="0"/>
  </r>
  <r>
    <s v="TXN0442"/>
    <d v="2026-09-24T00:00:00"/>
    <s v="P007"/>
    <x v="16"/>
    <x v="4"/>
    <s v="SafePro Supplies"/>
    <n v="267"/>
    <n v="89"/>
    <x v="130"/>
    <n v="235"/>
    <n v="234.03"/>
    <n v="54997.05"/>
    <x v="1"/>
  </r>
  <r>
    <s v="TXN0443"/>
    <d v="2026-06-13T00:00:00"/>
    <s v="P015"/>
    <x v="8"/>
    <x v="2"/>
    <s v="Johor Packaging"/>
    <n v="54"/>
    <n v="76"/>
    <x v="4"/>
    <n v="119"/>
    <n v="192.1"/>
    <n v="22859.9"/>
    <x v="2"/>
  </r>
  <r>
    <s v="TXN0444"/>
    <d v="2026-06-25T00:00:00"/>
    <s v="P001"/>
    <x v="17"/>
    <x v="1"/>
    <s v="Maju Industrial"/>
    <n v="351"/>
    <n v="27"/>
    <x v="143"/>
    <n v="205"/>
    <n v="188.77"/>
    <n v="38697.85"/>
    <x v="1"/>
  </r>
  <r>
    <s v="TXN0445"/>
    <d v="2026-09-22T00:00:00"/>
    <s v="P008"/>
    <x v="7"/>
    <x v="2"/>
    <s v="PackRight Trading"/>
    <n v="109"/>
    <n v="141"/>
    <x v="15"/>
    <n v="210"/>
    <n v="26.35"/>
    <n v="5533.5"/>
    <x v="0"/>
  </r>
  <r>
    <s v="TXN0446"/>
    <d v="2026-04-29T00:00:00"/>
    <s v="P015"/>
    <x v="8"/>
    <x v="2"/>
    <s v="Johor Packaging"/>
    <n v="428"/>
    <n v="103"/>
    <x v="153"/>
    <n v="370"/>
    <n v="173.78"/>
    <n v="64298.6"/>
    <x v="1"/>
  </r>
  <r>
    <s v="TXN0447"/>
    <d v="2026-07-22T00:00:00"/>
    <s v="P014"/>
    <x v="10"/>
    <x v="3"/>
    <s v="LogiEquip"/>
    <n v="34"/>
    <n v="157"/>
    <x v="118"/>
    <n v="141"/>
    <n v="57.61"/>
    <n v="8123.01"/>
    <x v="0"/>
  </r>
  <r>
    <s v="TXN0448"/>
    <d v="2026-01-03T00:00:00"/>
    <s v="P013"/>
    <x v="19"/>
    <x v="3"/>
    <s v="LogiEquip"/>
    <n v="380"/>
    <n v="54"/>
    <x v="67"/>
    <n v="382"/>
    <n v="9.98"/>
    <n v="3812.36"/>
    <x v="1"/>
  </r>
  <r>
    <s v="TXN0449"/>
    <d v="2026-02-22T00:00:00"/>
    <s v="P003"/>
    <x v="3"/>
    <x v="2"/>
    <s v="PackRight Trading"/>
    <n v="429"/>
    <n v="137"/>
    <x v="152"/>
    <n v="519"/>
    <n v="77.48"/>
    <n v="40212.120000000003"/>
    <x v="2"/>
  </r>
  <r>
    <s v="TXN0450"/>
    <d v="2026-02-28T00:00:00"/>
    <s v="P015"/>
    <x v="8"/>
    <x v="2"/>
    <s v="Johor Packaging"/>
    <n v="154"/>
    <n v="171"/>
    <x v="190"/>
    <n v="105"/>
    <n v="182.71"/>
    <n v="19184.55"/>
    <x v="1"/>
  </r>
  <r>
    <s v="TXN0451"/>
    <d v="2026-07-18T00:00:00"/>
    <s v="P011"/>
    <x v="11"/>
    <x v="0"/>
    <s v="TechParts Malaysia"/>
    <n v="332"/>
    <n v="100"/>
    <x v="191"/>
    <n v="282"/>
    <n v="59.64"/>
    <n v="16818.48"/>
    <x v="0"/>
  </r>
  <r>
    <s v="TXN0452"/>
    <d v="2026-03-30T00:00:00"/>
    <s v="P015"/>
    <x v="8"/>
    <x v="2"/>
    <s v="Johor Packaging"/>
    <n v="436"/>
    <n v="172"/>
    <x v="137"/>
    <n v="428"/>
    <n v="191.82"/>
    <n v="82098.960000000006"/>
    <x v="1"/>
  </r>
  <r>
    <s v="TXN0453"/>
    <d v="2026-02-13T00:00:00"/>
    <s v="P019"/>
    <x v="4"/>
    <x v="3"/>
    <s v="LogiEquip"/>
    <n v="364"/>
    <n v="34"/>
    <x v="89"/>
    <n v="318"/>
    <n v="213.32"/>
    <n v="67835.759999999995"/>
    <x v="0"/>
  </r>
  <r>
    <s v="TXN0454"/>
    <d v="2026-04-04T00:00:00"/>
    <s v="P004"/>
    <x v="1"/>
    <x v="1"/>
    <s v="Maju Industrial"/>
    <n v="211"/>
    <n v="177"/>
    <x v="117"/>
    <n v="352"/>
    <n v="64.94"/>
    <n v="22858.880000000001"/>
    <x v="0"/>
  </r>
  <r>
    <s v="TXN0455"/>
    <d v="2026-03-12T00:00:00"/>
    <s v="P020"/>
    <x v="14"/>
    <x v="2"/>
    <s v="PackRight Trading"/>
    <n v="314"/>
    <n v="98"/>
    <x v="145"/>
    <n v="304"/>
    <n v="4.5599999999999996"/>
    <n v="1386.24"/>
    <x v="1"/>
  </r>
  <r>
    <s v="TXN0456"/>
    <d v="2026-03-30T00:00:00"/>
    <s v="P018"/>
    <x v="6"/>
    <x v="4"/>
    <s v="SafePro Supplies"/>
    <n v="304"/>
    <n v="42"/>
    <x v="79"/>
    <n v="221"/>
    <n v="160.61000000000001"/>
    <n v="35494.81"/>
    <x v="2"/>
  </r>
  <r>
    <s v="TXN0457"/>
    <d v="2026-08-19T00:00:00"/>
    <s v="P011"/>
    <x v="11"/>
    <x v="0"/>
    <s v="TechParts Malaysia"/>
    <n v="337"/>
    <n v="13"/>
    <x v="1"/>
    <n v="259"/>
    <n v="68.16"/>
    <n v="17653.439999999999"/>
    <x v="0"/>
  </r>
  <r>
    <s v="TXN0458"/>
    <d v="2026-04-10T00:00:00"/>
    <s v="P005"/>
    <x v="13"/>
    <x v="0"/>
    <s v="Mega Electric"/>
    <n v="437"/>
    <n v="98"/>
    <x v="166"/>
    <n v="392"/>
    <n v="207.18"/>
    <n v="81214.559999999998"/>
    <x v="0"/>
  </r>
  <r>
    <s v="TXN0459"/>
    <d v="2026-09-09T00:00:00"/>
    <s v="P014"/>
    <x v="10"/>
    <x v="3"/>
    <s v="LogiEquip"/>
    <n v="232"/>
    <n v="113"/>
    <x v="79"/>
    <n v="220"/>
    <n v="54.99"/>
    <n v="12097.8"/>
    <x v="1"/>
  </r>
  <r>
    <s v="TXN0460"/>
    <d v="2026-04-23T00:00:00"/>
    <s v="P001"/>
    <x v="17"/>
    <x v="1"/>
    <s v="Maju Industrial"/>
    <n v="169"/>
    <n v="8"/>
    <x v="64"/>
    <n v="107"/>
    <n v="172.19"/>
    <n v="18424.330000000002"/>
    <x v="0"/>
  </r>
  <r>
    <s v="TXN0461"/>
    <d v="2026-08-23T00:00:00"/>
    <s v="P006"/>
    <x v="0"/>
    <x v="0"/>
    <s v="Mega Electric"/>
    <n v="309"/>
    <n v="126"/>
    <x v="20"/>
    <n v="295"/>
    <n v="190.78"/>
    <n v="56280.1"/>
    <x v="1"/>
  </r>
  <r>
    <s v="TXN0462"/>
    <d v="2026-05-18T00:00:00"/>
    <s v="P004"/>
    <x v="1"/>
    <x v="1"/>
    <s v="Maju Industrial"/>
    <n v="416"/>
    <n v="139"/>
    <x v="100"/>
    <n v="345"/>
    <n v="69.92"/>
    <n v="24122.400000000001"/>
    <x v="1"/>
  </r>
  <r>
    <s v="TXN0463"/>
    <d v="2026-08-14T00:00:00"/>
    <s v="P002"/>
    <x v="15"/>
    <x v="4"/>
    <s v="SafePro Supplies"/>
    <n v="299"/>
    <n v="55"/>
    <x v="145"/>
    <n v="246"/>
    <n v="9.3000000000000007"/>
    <n v="2287.8000000000002"/>
    <x v="1"/>
  </r>
  <r>
    <s v="TXN0464"/>
    <d v="2026-06-02T00:00:00"/>
    <s v="P008"/>
    <x v="7"/>
    <x v="2"/>
    <s v="PackRight Trading"/>
    <n v="467"/>
    <n v="8"/>
    <x v="161"/>
    <n v="360"/>
    <n v="26.05"/>
    <n v="9378"/>
    <x v="2"/>
  </r>
  <r>
    <s v="TXN0465"/>
    <d v="2026-03-02T00:00:00"/>
    <s v="P015"/>
    <x v="8"/>
    <x v="2"/>
    <s v="Johor Packaging"/>
    <n v="417"/>
    <n v="60"/>
    <x v="6"/>
    <n v="424"/>
    <n v="192.12"/>
    <n v="81458.880000000005"/>
    <x v="1"/>
  </r>
  <r>
    <s v="TXN0466"/>
    <d v="2026-08-08T00:00:00"/>
    <s v="P012"/>
    <x v="5"/>
    <x v="4"/>
    <s v="SafePro Supplies"/>
    <n v="104"/>
    <n v="157"/>
    <x v="186"/>
    <n v="226"/>
    <n v="149.5"/>
    <n v="33787"/>
    <x v="2"/>
  </r>
  <r>
    <s v="TXN0467"/>
    <d v="2026-06-29T00:00:00"/>
    <s v="P002"/>
    <x v="15"/>
    <x v="4"/>
    <s v="SafePro Supplies"/>
    <n v="292"/>
    <n v="71"/>
    <x v="13"/>
    <n v="211"/>
    <n v="9.99"/>
    <n v="2107.89"/>
    <x v="0"/>
  </r>
  <r>
    <s v="TXN0468"/>
    <d v="2026-05-29T00:00:00"/>
    <s v="P010"/>
    <x v="12"/>
    <x v="1"/>
    <s v="TechParts Malaysia"/>
    <n v="313"/>
    <n v="68"/>
    <x v="102"/>
    <n v="162"/>
    <n v="11.28"/>
    <n v="1827.36"/>
    <x v="1"/>
  </r>
  <r>
    <s v="TXN0469"/>
    <d v="2026-03-11T00:00:00"/>
    <s v="P004"/>
    <x v="1"/>
    <x v="1"/>
    <s v="Maju Industrial"/>
    <n v="404"/>
    <n v="105"/>
    <x v="94"/>
    <n v="494"/>
    <n v="69.94"/>
    <n v="34550.36"/>
    <x v="1"/>
  </r>
  <r>
    <s v="TXN0470"/>
    <d v="2026-03-09T00:00:00"/>
    <s v="P005"/>
    <x v="13"/>
    <x v="0"/>
    <s v="Mega Electric"/>
    <n v="147"/>
    <n v="37"/>
    <x v="183"/>
    <n v="2"/>
    <n v="201.11"/>
    <n v="402.22"/>
    <x v="2"/>
  </r>
  <r>
    <s v="TXN0471"/>
    <d v="2026-09-08T00:00:00"/>
    <s v="P013"/>
    <x v="19"/>
    <x v="3"/>
    <s v="LogiEquip"/>
    <n v="92"/>
    <n v="147"/>
    <x v="153"/>
    <n v="78"/>
    <n v="9.9700000000000006"/>
    <n v="777.66"/>
    <x v="0"/>
  </r>
  <r>
    <s v="TXN0472"/>
    <d v="2026-08-20T00:00:00"/>
    <s v="P013"/>
    <x v="19"/>
    <x v="3"/>
    <s v="LogiEquip"/>
    <n v="58"/>
    <n v="162"/>
    <x v="188"/>
    <n v="17"/>
    <n v="10.98"/>
    <n v="186.66"/>
    <x v="2"/>
  </r>
  <r>
    <s v="TXN0473"/>
    <d v="2026-09-21T00:00:00"/>
    <s v="P013"/>
    <x v="19"/>
    <x v="3"/>
    <s v="LogiEquip"/>
    <n v="403"/>
    <n v="71"/>
    <x v="192"/>
    <n v="297"/>
    <n v="11.07"/>
    <n v="3287.79"/>
    <x v="0"/>
  </r>
  <r>
    <s v="TXN0474"/>
    <d v="2026-09-07T00:00:00"/>
    <s v="P015"/>
    <x v="8"/>
    <x v="2"/>
    <s v="Johor Packaging"/>
    <n v="187"/>
    <n v="148"/>
    <x v="193"/>
    <n v="335"/>
    <n v="193.82"/>
    <n v="64929.7"/>
    <x v="1"/>
  </r>
  <r>
    <s v="TXN0475"/>
    <d v="2026-08-23T00:00:00"/>
    <s v="P003"/>
    <x v="3"/>
    <x v="2"/>
    <s v="PackRight Trading"/>
    <n v="345"/>
    <n v="170"/>
    <x v="150"/>
    <n v="337"/>
    <n v="77.39"/>
    <n v="26080.43"/>
    <x v="2"/>
  </r>
  <r>
    <s v="TXN0476"/>
    <d v="2026-07-23T00:00:00"/>
    <s v="P018"/>
    <x v="6"/>
    <x v="4"/>
    <s v="SafePro Supplies"/>
    <n v="131"/>
    <n v="109"/>
    <x v="81"/>
    <n v="29"/>
    <n v="158.56"/>
    <n v="4598.24"/>
    <x v="0"/>
  </r>
  <r>
    <s v="TXN0477"/>
    <d v="2026-05-26T00:00:00"/>
    <s v="P011"/>
    <x v="11"/>
    <x v="0"/>
    <s v="TechParts Malaysia"/>
    <n v="192"/>
    <n v="140"/>
    <x v="53"/>
    <n v="185"/>
    <n v="59.81"/>
    <n v="11064.85"/>
    <x v="0"/>
  </r>
  <r>
    <s v="TXN0478"/>
    <d v="2026-01-25T00:00:00"/>
    <s v="P011"/>
    <x v="11"/>
    <x v="0"/>
    <s v="TechParts Malaysia"/>
    <n v="43"/>
    <n v="25"/>
    <x v="129"/>
    <n v="10"/>
    <n v="58.64"/>
    <n v="586.4"/>
    <x v="2"/>
  </r>
  <r>
    <s v="TXN0479"/>
    <d v="2026-08-22T00:00:00"/>
    <s v="P015"/>
    <x v="8"/>
    <x v="2"/>
    <s v="Johor Packaging"/>
    <n v="20"/>
    <n v="109"/>
    <x v="185"/>
    <n v="78"/>
    <n v="197.53"/>
    <n v="15407.34"/>
    <x v="2"/>
  </r>
  <r>
    <s v="TXN0480"/>
    <d v="2026-03-23T00:00:00"/>
    <s v="P010"/>
    <x v="12"/>
    <x v="1"/>
    <s v="TechParts Malaysia"/>
    <n v="467"/>
    <n v="70"/>
    <x v="101"/>
    <n v="514"/>
    <n v="11.53"/>
    <n v="5926.42"/>
    <x v="0"/>
  </r>
  <r>
    <s v="TXN0481"/>
    <d v="2026-07-10T00:00:00"/>
    <s v="P003"/>
    <x v="3"/>
    <x v="2"/>
    <s v="PackRight Trading"/>
    <n v="360"/>
    <n v="166"/>
    <x v="160"/>
    <n v="484"/>
    <n v="73.5"/>
    <n v="35574"/>
    <x v="1"/>
  </r>
  <r>
    <s v="TXN0482"/>
    <d v="2026-04-30T00:00:00"/>
    <s v="P010"/>
    <x v="12"/>
    <x v="1"/>
    <s v="TechParts Malaysia"/>
    <n v="239"/>
    <n v="167"/>
    <x v="101"/>
    <n v="383"/>
    <n v="11.62"/>
    <n v="4450.46"/>
    <x v="2"/>
  </r>
  <r>
    <s v="TXN0483"/>
    <d v="2026-09-02T00:00:00"/>
    <s v="P007"/>
    <x v="16"/>
    <x v="4"/>
    <s v="SafePro Supplies"/>
    <n v="59"/>
    <n v="33"/>
    <x v="194"/>
    <n v="17"/>
    <n v="239.18"/>
    <n v="4066.06"/>
    <x v="1"/>
  </r>
  <r>
    <s v="TXN0484"/>
    <d v="2026-01-05T00:00:00"/>
    <s v="P015"/>
    <x v="8"/>
    <x v="2"/>
    <s v="Johor Packaging"/>
    <n v="24"/>
    <n v="178"/>
    <x v="84"/>
    <n v="115"/>
    <n v="192.3"/>
    <n v="22114.5"/>
    <x v="0"/>
  </r>
  <r>
    <s v="TXN0485"/>
    <d v="2026-09-02T00:00:00"/>
    <s v="P005"/>
    <x v="13"/>
    <x v="0"/>
    <s v="Mega Electric"/>
    <n v="56"/>
    <n v="58"/>
    <x v="162"/>
    <n v="65"/>
    <n v="193.4"/>
    <n v="12571"/>
    <x v="2"/>
  </r>
  <r>
    <s v="TXN0486"/>
    <d v="2026-06-10T00:00:00"/>
    <s v="P004"/>
    <x v="1"/>
    <x v="1"/>
    <s v="Maju Industrial"/>
    <n v="208"/>
    <n v="76"/>
    <x v="186"/>
    <n v="249"/>
    <n v="63.61"/>
    <n v="15838.89"/>
    <x v="2"/>
  </r>
  <r>
    <s v="TXN0487"/>
    <d v="2026-02-05T00:00:00"/>
    <s v="P005"/>
    <x v="13"/>
    <x v="0"/>
    <s v="Mega Electric"/>
    <n v="291"/>
    <n v="144"/>
    <x v="41"/>
    <n v="433"/>
    <n v="210.66"/>
    <n v="91215.78"/>
    <x v="2"/>
  </r>
  <r>
    <s v="TXN0488"/>
    <d v="2026-06-29T00:00:00"/>
    <s v="P015"/>
    <x v="8"/>
    <x v="2"/>
    <s v="Johor Packaging"/>
    <n v="389"/>
    <n v="54"/>
    <x v="105"/>
    <n v="283"/>
    <n v="190.29"/>
    <n v="53852.07"/>
    <x v="0"/>
  </r>
  <r>
    <s v="TXN0489"/>
    <d v="2026-08-15T00:00:00"/>
    <s v="P020"/>
    <x v="14"/>
    <x v="2"/>
    <s v="PackRight Trading"/>
    <n v="460"/>
    <n v="55"/>
    <x v="195"/>
    <n v="493"/>
    <n v="5.0999999999999996"/>
    <n v="2514.3000000000002"/>
    <x v="2"/>
  </r>
  <r>
    <s v="TXN0490"/>
    <d v="2026-07-16T00:00:00"/>
    <s v="P004"/>
    <x v="1"/>
    <x v="1"/>
    <s v="Maju Industrial"/>
    <n v="199"/>
    <n v="109"/>
    <x v="89"/>
    <n v="228"/>
    <n v="67.849999999999994"/>
    <n v="15469.8"/>
    <x v="2"/>
  </r>
  <r>
    <s v="TXN0491"/>
    <d v="2026-02-13T00:00:00"/>
    <s v="P009"/>
    <x v="2"/>
    <x v="2"/>
    <s v="Johor Packaging"/>
    <n v="147"/>
    <n v="141"/>
    <x v="17"/>
    <n v="135"/>
    <n v="121.79"/>
    <n v="16441.650000000001"/>
    <x v="1"/>
  </r>
  <r>
    <s v="TXN0492"/>
    <d v="2026-01-14T00:00:00"/>
    <s v="P010"/>
    <x v="12"/>
    <x v="1"/>
    <s v="TechParts Malaysia"/>
    <n v="454"/>
    <n v="168"/>
    <x v="55"/>
    <n v="545"/>
    <n v="10.72"/>
    <n v="5842.4"/>
    <x v="1"/>
  </r>
  <r>
    <s v="TXN0493"/>
    <d v="2026-04-07T00:00:00"/>
    <s v="P017"/>
    <x v="9"/>
    <x v="0"/>
    <s v="Mega Electric"/>
    <n v="402"/>
    <n v="100"/>
    <x v="194"/>
    <n v="427"/>
    <n v="65.56"/>
    <n v="27994.12"/>
    <x v="2"/>
  </r>
  <r>
    <s v="TXN0494"/>
    <d v="2026-07-17T00:00:00"/>
    <s v="P016"/>
    <x v="18"/>
    <x v="1"/>
    <s v="Maju Industrial"/>
    <n v="77"/>
    <n v="61"/>
    <x v="10"/>
    <n v="11"/>
    <n v="157.35"/>
    <n v="1730.85"/>
    <x v="2"/>
  </r>
  <r>
    <s v="TXN0495"/>
    <d v="2026-01-07T00:00:00"/>
    <s v="P017"/>
    <x v="9"/>
    <x v="0"/>
    <s v="Mega Electric"/>
    <n v="204"/>
    <n v="81"/>
    <x v="127"/>
    <n v="252"/>
    <n v="62.9"/>
    <n v="15850.8"/>
    <x v="1"/>
  </r>
  <r>
    <s v="TXN0496"/>
    <d v="2026-07-07T00:00:00"/>
    <s v="P014"/>
    <x v="10"/>
    <x v="3"/>
    <s v="LogiEquip"/>
    <n v="299"/>
    <n v="174"/>
    <x v="167"/>
    <n v="429"/>
    <n v="60.52"/>
    <n v="25963.08"/>
    <x v="2"/>
  </r>
  <r>
    <s v="TXN0497"/>
    <d v="2026-02-04T00:00:00"/>
    <s v="P001"/>
    <x v="17"/>
    <x v="1"/>
    <s v="Maju Industrial"/>
    <n v="27"/>
    <n v="67"/>
    <x v="43"/>
    <n v="67"/>
    <n v="166.86"/>
    <n v="11179.62"/>
    <x v="2"/>
  </r>
  <r>
    <s v="TXN0498"/>
    <d v="2026-09-17T00:00:00"/>
    <s v="P013"/>
    <x v="19"/>
    <x v="3"/>
    <s v="LogiEquip"/>
    <n v="166"/>
    <n v="160"/>
    <x v="183"/>
    <n v="144"/>
    <n v="10.35"/>
    <n v="1490.4"/>
    <x v="0"/>
  </r>
  <r>
    <s v="TXN0499"/>
    <d v="2026-07-25T00:00:00"/>
    <s v="P014"/>
    <x v="10"/>
    <x v="3"/>
    <s v="LogiEquip"/>
    <n v="62"/>
    <n v="163"/>
    <x v="2"/>
    <n v="88"/>
    <n v="58.43"/>
    <n v="5141.84"/>
    <x v="2"/>
  </r>
  <r>
    <s v="TXN0500"/>
    <d v="2026-02-12T00:00:00"/>
    <s v="P009"/>
    <x v="2"/>
    <x v="2"/>
    <s v="Johor Packaging"/>
    <n v="178"/>
    <n v="20"/>
    <x v="196"/>
    <n v="68"/>
    <n v="127.95"/>
    <n v="8700.6"/>
    <x v="2"/>
  </r>
  <r>
    <s v="TXN0501"/>
    <d v="2026-06-17T00:00:00"/>
    <s v="P018"/>
    <x v="6"/>
    <x v="4"/>
    <s v="SafePro Supplies"/>
    <n v="220"/>
    <n v="150"/>
    <x v="140"/>
    <n v="208"/>
    <n v="173.23"/>
    <n v="36031.839999999997"/>
    <x v="1"/>
  </r>
  <r>
    <s v="TXN0502"/>
    <d v="2026-06-08T00:00:00"/>
    <s v="P003"/>
    <x v="3"/>
    <x v="2"/>
    <s v="PackRight Trading"/>
    <n v="377"/>
    <n v="111"/>
    <x v="155"/>
    <n v="302"/>
    <n v="84.93"/>
    <n v="25648.86"/>
    <x v="2"/>
  </r>
  <r>
    <s v="TXN0503"/>
    <d v="2026-05-06T00:00:00"/>
    <s v="P002"/>
    <x v="15"/>
    <x v="4"/>
    <s v="SafePro Supplies"/>
    <n v="64"/>
    <n v="111"/>
    <x v="93"/>
    <n v="146"/>
    <n v="9.85"/>
    <n v="1438.1"/>
    <x v="1"/>
  </r>
  <r>
    <s v="TXN0504"/>
    <d v="2026-06-08T00:00:00"/>
    <s v="P002"/>
    <x v="15"/>
    <x v="4"/>
    <s v="SafePro Supplies"/>
    <n v="361"/>
    <n v="168"/>
    <x v="163"/>
    <n v="340"/>
    <n v="9.41"/>
    <n v="3199.4"/>
    <x v="2"/>
  </r>
  <r>
    <s v="TXN0505"/>
    <d v="2026-01-06T00:00:00"/>
    <s v="P005"/>
    <x v="13"/>
    <x v="0"/>
    <s v="Mega Electric"/>
    <n v="103"/>
    <n v="127"/>
    <x v="52"/>
    <n v="142"/>
    <n v="207.76"/>
    <n v="29501.919999999998"/>
    <x v="1"/>
  </r>
  <r>
    <s v="TXN0506"/>
    <d v="2026-03-27T00:00:00"/>
    <s v="P009"/>
    <x v="2"/>
    <x v="2"/>
    <s v="Johor Packaging"/>
    <n v="210"/>
    <n v="32"/>
    <x v="175"/>
    <n v="51"/>
    <n v="125.26"/>
    <n v="6388.26"/>
    <x v="0"/>
  </r>
  <r>
    <s v="TXN0507"/>
    <d v="2026-01-16T00:00:00"/>
    <s v="P004"/>
    <x v="1"/>
    <x v="1"/>
    <s v="Maju Industrial"/>
    <n v="191"/>
    <n v="109"/>
    <x v="68"/>
    <n v="231"/>
    <n v="65.08"/>
    <n v="15033.48"/>
    <x v="0"/>
  </r>
  <r>
    <s v="TXN0508"/>
    <d v="2026-02-09T00:00:00"/>
    <s v="P019"/>
    <x v="4"/>
    <x v="3"/>
    <s v="LogiEquip"/>
    <n v="274"/>
    <n v="116"/>
    <x v="196"/>
    <n v="260"/>
    <n v="222.13"/>
    <n v="57753.8"/>
    <x v="0"/>
  </r>
  <r>
    <s v="TXN0509"/>
    <d v="2026-03-27T00:00:00"/>
    <s v="P019"/>
    <x v="4"/>
    <x v="3"/>
    <s v="LogiEquip"/>
    <n v="208"/>
    <n v="40"/>
    <x v="197"/>
    <n v="183"/>
    <n v="237.15"/>
    <n v="43398.45"/>
    <x v="1"/>
  </r>
  <r>
    <s v="TXN0510"/>
    <d v="2026-04-27T00:00:00"/>
    <s v="P004"/>
    <x v="1"/>
    <x v="1"/>
    <s v="Maju Industrial"/>
    <n v="399"/>
    <n v="130"/>
    <x v="193"/>
    <n v="529"/>
    <n v="60.1"/>
    <n v="31792.9"/>
    <x v="2"/>
  </r>
  <r>
    <s v="TXN0511"/>
    <d v="2026-01-24T00:00:00"/>
    <s v="P008"/>
    <x v="7"/>
    <x v="2"/>
    <s v="PackRight Trading"/>
    <n v="261"/>
    <n v="93"/>
    <x v="109"/>
    <n v="256"/>
    <n v="28.9"/>
    <n v="7398.4"/>
    <x v="2"/>
  </r>
  <r>
    <s v="TXN0512"/>
    <d v="2026-08-03T00:00:00"/>
    <s v="P002"/>
    <x v="15"/>
    <x v="4"/>
    <s v="SafePro Supplies"/>
    <n v="134"/>
    <n v="82"/>
    <x v="11"/>
    <n v="153"/>
    <n v="9.7899999999999991"/>
    <n v="1497.87"/>
    <x v="1"/>
  </r>
  <r>
    <s v="TXN0513"/>
    <d v="2026-05-19T00:00:00"/>
    <s v="P011"/>
    <x v="11"/>
    <x v="0"/>
    <s v="TechParts Malaysia"/>
    <n v="442"/>
    <n v="19"/>
    <x v="132"/>
    <n v="315"/>
    <n v="62.27"/>
    <n v="19615.05"/>
    <x v="1"/>
  </r>
  <r>
    <s v="TXN0514"/>
    <d v="2026-04-02T00:00:00"/>
    <s v="P002"/>
    <x v="15"/>
    <x v="4"/>
    <s v="SafePro Supplies"/>
    <n v="134"/>
    <n v="132"/>
    <x v="4"/>
    <n v="255"/>
    <n v="10.65"/>
    <n v="2715.75"/>
    <x v="2"/>
  </r>
  <r>
    <s v="TXN0515"/>
    <d v="2026-05-25T00:00:00"/>
    <s v="P015"/>
    <x v="8"/>
    <x v="2"/>
    <s v="Johor Packaging"/>
    <n v="416"/>
    <n v="79"/>
    <x v="72"/>
    <n v="412"/>
    <n v="170.91"/>
    <n v="70414.92"/>
    <x v="0"/>
  </r>
  <r>
    <s v="TXN0516"/>
    <d v="2026-07-08T00:00:00"/>
    <s v="P001"/>
    <x v="17"/>
    <x v="1"/>
    <s v="Maju Industrial"/>
    <n v="122"/>
    <n v="74"/>
    <x v="76"/>
    <n v="52"/>
    <n v="188.32"/>
    <n v="9792.64"/>
    <x v="1"/>
  </r>
  <r>
    <s v="TXN0517"/>
    <d v="2026-05-05T00:00:00"/>
    <s v="P020"/>
    <x v="14"/>
    <x v="2"/>
    <s v="PackRight Trading"/>
    <n v="257"/>
    <n v="94"/>
    <x v="176"/>
    <n v="200"/>
    <n v="5.16"/>
    <n v="1032"/>
    <x v="2"/>
  </r>
  <r>
    <s v="TXN0518"/>
    <d v="2026-05-06T00:00:00"/>
    <s v="P018"/>
    <x v="6"/>
    <x v="4"/>
    <s v="SafePro Supplies"/>
    <n v="97"/>
    <n v="1"/>
    <x v="67"/>
    <n v="46"/>
    <n v="153.56"/>
    <n v="7063.76"/>
    <x v="1"/>
  </r>
  <r>
    <s v="TXN0519"/>
    <d v="2026-01-05T00:00:00"/>
    <s v="P012"/>
    <x v="5"/>
    <x v="4"/>
    <s v="SafePro Supplies"/>
    <n v="191"/>
    <n v="0"/>
    <x v="198"/>
    <n v="23"/>
    <n v="140.15"/>
    <n v="3223.45"/>
    <x v="1"/>
  </r>
  <r>
    <s v="TXN0520"/>
    <d v="2026-02-23T00:00:00"/>
    <s v="P010"/>
    <x v="12"/>
    <x v="1"/>
    <s v="TechParts Malaysia"/>
    <n v="125"/>
    <n v="135"/>
    <x v="114"/>
    <n v="200"/>
    <n v="11.11"/>
    <n v="2222"/>
    <x v="2"/>
  </r>
  <r>
    <s v="TXN0521"/>
    <d v="2026-05-24T00:00:00"/>
    <s v="P005"/>
    <x v="13"/>
    <x v="0"/>
    <s v="Mega Electric"/>
    <n v="67"/>
    <n v="11"/>
    <x v="93"/>
    <n v="49"/>
    <n v="220.16"/>
    <n v="10787.84"/>
    <x v="1"/>
  </r>
  <r>
    <s v="TXN0522"/>
    <d v="2026-07-10T00:00:00"/>
    <s v="P014"/>
    <x v="10"/>
    <x v="3"/>
    <s v="LogiEquip"/>
    <n v="254"/>
    <n v="21"/>
    <x v="78"/>
    <n v="127"/>
    <n v="54.32"/>
    <n v="6898.64"/>
    <x v="2"/>
  </r>
  <r>
    <s v="TXN0523"/>
    <d v="2026-02-08T00:00:00"/>
    <s v="P013"/>
    <x v="19"/>
    <x v="3"/>
    <s v="LogiEquip"/>
    <n v="323"/>
    <n v="145"/>
    <x v="94"/>
    <n v="453"/>
    <n v="10.24"/>
    <n v="4638.72"/>
    <x v="2"/>
  </r>
  <r>
    <s v="TXN0524"/>
    <d v="2026-05-30T00:00:00"/>
    <s v="P008"/>
    <x v="7"/>
    <x v="2"/>
    <s v="PackRight Trading"/>
    <n v="153"/>
    <n v="80"/>
    <x v="62"/>
    <n v="28"/>
    <n v="26.62"/>
    <n v="745.36"/>
    <x v="1"/>
  </r>
  <r>
    <s v="TXN0525"/>
    <d v="2026-06-12T00:00:00"/>
    <s v="P011"/>
    <x v="11"/>
    <x v="0"/>
    <s v="TechParts Malaysia"/>
    <n v="251"/>
    <n v="69"/>
    <x v="96"/>
    <n v="261"/>
    <n v="59.24"/>
    <n v="15461.64"/>
    <x v="2"/>
  </r>
  <r>
    <s v="TXN0526"/>
    <d v="2026-02-25T00:00:00"/>
    <s v="P005"/>
    <x v="13"/>
    <x v="0"/>
    <s v="Mega Electric"/>
    <n v="99"/>
    <n v="27"/>
    <x v="46"/>
    <n v="105"/>
    <n v="205.33"/>
    <n v="21559.65"/>
    <x v="0"/>
  </r>
  <r>
    <s v="TXN0527"/>
    <d v="2026-03-03T00:00:00"/>
    <s v="P014"/>
    <x v="10"/>
    <x v="3"/>
    <s v="LogiEquip"/>
    <n v="294"/>
    <n v="91"/>
    <x v="170"/>
    <n v="188"/>
    <n v="55.36"/>
    <n v="10407.68"/>
    <x v="0"/>
  </r>
  <r>
    <s v="TXN0528"/>
    <d v="2026-05-16T00:00:00"/>
    <s v="P015"/>
    <x v="8"/>
    <x v="2"/>
    <s v="Johor Packaging"/>
    <n v="456"/>
    <n v="30"/>
    <x v="101"/>
    <n v="463"/>
    <n v="172.99"/>
    <n v="80094.37"/>
    <x v="1"/>
  </r>
  <r>
    <s v="TXN0529"/>
    <d v="2026-01-21T00:00:00"/>
    <s v="P010"/>
    <x v="12"/>
    <x v="1"/>
    <s v="TechParts Malaysia"/>
    <n v="130"/>
    <n v="83"/>
    <x v="60"/>
    <n v="176"/>
    <n v="10.52"/>
    <n v="1851.52"/>
    <x v="2"/>
  </r>
  <r>
    <s v="TXN0530"/>
    <d v="2026-07-22T00:00:00"/>
    <s v="P012"/>
    <x v="5"/>
    <x v="4"/>
    <s v="SafePro Supplies"/>
    <n v="282"/>
    <n v="12"/>
    <x v="143"/>
    <n v="121"/>
    <n v="138.38"/>
    <n v="16743.98"/>
    <x v="2"/>
  </r>
  <r>
    <s v="TXN0531"/>
    <d v="2026-07-27T00:00:00"/>
    <s v="P001"/>
    <x v="17"/>
    <x v="1"/>
    <s v="Maju Industrial"/>
    <n v="457"/>
    <n v="115"/>
    <x v="144"/>
    <n v="430"/>
    <n v="187.27"/>
    <n v="80526.100000000006"/>
    <x v="2"/>
  </r>
  <r>
    <s v="TXN0532"/>
    <d v="2026-08-25T00:00:00"/>
    <s v="P004"/>
    <x v="1"/>
    <x v="1"/>
    <s v="Maju Industrial"/>
    <n v="72"/>
    <n v="35"/>
    <x v="94"/>
    <n v="92"/>
    <n v="59.77"/>
    <n v="5498.84"/>
    <x v="2"/>
  </r>
  <r>
    <s v="TXN0533"/>
    <d v="2026-04-12T00:00:00"/>
    <s v="P005"/>
    <x v="13"/>
    <x v="0"/>
    <s v="Mega Electric"/>
    <n v="441"/>
    <n v="102"/>
    <x v="22"/>
    <n v="448"/>
    <n v="213.17"/>
    <n v="95500.160000000003"/>
    <x v="1"/>
  </r>
  <r>
    <s v="TXN0534"/>
    <d v="2026-05-13T00:00:00"/>
    <s v="P003"/>
    <x v="3"/>
    <x v="2"/>
    <s v="PackRight Trading"/>
    <n v="489"/>
    <n v="19"/>
    <x v="75"/>
    <n v="503"/>
    <n v="85.48"/>
    <n v="42996.44"/>
    <x v="2"/>
  </r>
  <r>
    <s v="TXN0535"/>
    <d v="2026-03-07T00:00:00"/>
    <s v="P015"/>
    <x v="8"/>
    <x v="2"/>
    <s v="Johor Packaging"/>
    <n v="67"/>
    <n v="84"/>
    <x v="158"/>
    <n v="120"/>
    <n v="169.63"/>
    <n v="20355.599999999999"/>
    <x v="0"/>
  </r>
  <r>
    <s v="TXN0536"/>
    <d v="2026-03-28T00:00:00"/>
    <s v="P002"/>
    <x v="15"/>
    <x v="4"/>
    <s v="SafePro Supplies"/>
    <n v="493"/>
    <n v="146"/>
    <x v="159"/>
    <n v="529"/>
    <n v="10.44"/>
    <n v="5522.76"/>
    <x v="0"/>
  </r>
  <r>
    <s v="TXN0537"/>
    <d v="2026-01-16T00:00:00"/>
    <s v="P016"/>
    <x v="18"/>
    <x v="1"/>
    <s v="Maju Industrial"/>
    <n v="215"/>
    <n v="174"/>
    <x v="71"/>
    <n v="280"/>
    <n v="145.88999999999999"/>
    <n v="40849.199999999997"/>
    <x v="2"/>
  </r>
  <r>
    <s v="TXN0538"/>
    <d v="2026-05-21T00:00:00"/>
    <s v="P006"/>
    <x v="0"/>
    <x v="0"/>
    <s v="Mega Electric"/>
    <n v="163"/>
    <n v="114"/>
    <x v="47"/>
    <n v="239"/>
    <n v="176.27"/>
    <n v="42128.53"/>
    <x v="1"/>
  </r>
  <r>
    <s v="TXN0539"/>
    <d v="2026-05-06T00:00:00"/>
    <s v="P020"/>
    <x v="14"/>
    <x v="2"/>
    <s v="PackRight Trading"/>
    <n v="351"/>
    <n v="75"/>
    <x v="10"/>
    <n v="299"/>
    <n v="4.7300000000000004"/>
    <n v="1414.27"/>
    <x v="1"/>
  </r>
  <r>
    <s v="TXN0540"/>
    <d v="2026-02-01T00:00:00"/>
    <s v="P016"/>
    <x v="18"/>
    <x v="1"/>
    <s v="Maju Industrial"/>
    <n v="64"/>
    <n v="71"/>
    <x v="109"/>
    <n v="37"/>
    <n v="145.01"/>
    <n v="5365.37"/>
    <x v="2"/>
  </r>
  <r>
    <s v="TXN0541"/>
    <d v="2026-05-08T00:00:00"/>
    <s v="P017"/>
    <x v="9"/>
    <x v="0"/>
    <s v="Mega Electric"/>
    <n v="342"/>
    <n v="139"/>
    <x v="188"/>
    <n v="278"/>
    <n v="59.14"/>
    <n v="16440.919999999998"/>
    <x v="0"/>
  </r>
  <r>
    <s v="TXN0542"/>
    <d v="2026-09-03T00:00:00"/>
    <s v="P012"/>
    <x v="5"/>
    <x v="4"/>
    <s v="SafePro Supplies"/>
    <n v="298"/>
    <n v="124"/>
    <x v="52"/>
    <n v="334"/>
    <n v="152.41999999999999"/>
    <n v="50908.28"/>
    <x v="1"/>
  </r>
  <r>
    <s v="TXN0543"/>
    <d v="2026-07-18T00:00:00"/>
    <s v="P011"/>
    <x v="11"/>
    <x v="0"/>
    <s v="TechParts Malaysia"/>
    <n v="158"/>
    <n v="46"/>
    <x v="70"/>
    <n v="198"/>
    <n v="61.72"/>
    <n v="12220.56"/>
    <x v="2"/>
  </r>
  <r>
    <s v="TXN0544"/>
    <d v="2026-05-24T00:00:00"/>
    <s v="P001"/>
    <x v="17"/>
    <x v="1"/>
    <s v="Maju Industrial"/>
    <n v="49"/>
    <n v="120"/>
    <x v="87"/>
    <n v="34"/>
    <n v="176.01"/>
    <n v="5984.34"/>
    <x v="1"/>
  </r>
  <r>
    <s v="TXN0545"/>
    <d v="2026-03-23T00:00:00"/>
    <s v="P008"/>
    <x v="7"/>
    <x v="2"/>
    <s v="PackRight Trading"/>
    <n v="71"/>
    <n v="63"/>
    <x v="18"/>
    <n v="73"/>
    <n v="26.07"/>
    <n v="1903.11"/>
    <x v="1"/>
  </r>
  <r>
    <s v="TXN0546"/>
    <d v="2026-04-23T00:00:00"/>
    <s v="P002"/>
    <x v="15"/>
    <x v="4"/>
    <s v="SafePro Supplies"/>
    <n v="314"/>
    <n v="99"/>
    <x v="142"/>
    <n v="323"/>
    <n v="10.62"/>
    <n v="3430.26"/>
    <x v="2"/>
  </r>
  <r>
    <s v="TXN0547"/>
    <d v="2026-05-02T00:00:00"/>
    <s v="P006"/>
    <x v="0"/>
    <x v="0"/>
    <s v="Mega Electric"/>
    <n v="323"/>
    <n v="81"/>
    <x v="27"/>
    <n v="198"/>
    <n v="197.7"/>
    <n v="39144.6"/>
    <x v="0"/>
  </r>
  <r>
    <s v="TXN0548"/>
    <d v="2026-01-15T00:00:00"/>
    <s v="P019"/>
    <x v="4"/>
    <x v="3"/>
    <s v="LogiEquip"/>
    <n v="380"/>
    <n v="179"/>
    <x v="142"/>
    <n v="469"/>
    <n v="243.48"/>
    <n v="114192.12"/>
    <x v="1"/>
  </r>
  <r>
    <s v="TXN0549"/>
    <d v="2026-04-07T00:00:00"/>
    <s v="P005"/>
    <x v="13"/>
    <x v="0"/>
    <s v="Mega Electric"/>
    <n v="448"/>
    <n v="126"/>
    <x v="36"/>
    <n v="436"/>
    <n v="200.68"/>
    <n v="87496.48"/>
    <x v="0"/>
  </r>
  <r>
    <s v="TXN0550"/>
    <d v="2026-02-16T00:00:00"/>
    <s v="P002"/>
    <x v="15"/>
    <x v="4"/>
    <s v="SafePro Supplies"/>
    <n v="48"/>
    <n v="59"/>
    <x v="55"/>
    <n v="30"/>
    <n v="9.48"/>
    <n v="284.39999999999998"/>
    <x v="1"/>
  </r>
  <r>
    <s v="TXN0551"/>
    <d v="2026-01-01T00:00:00"/>
    <s v="P016"/>
    <x v="18"/>
    <x v="1"/>
    <s v="Maju Industrial"/>
    <n v="189"/>
    <n v="157"/>
    <x v="185"/>
    <n v="295"/>
    <n v="161.5"/>
    <n v="47642.5"/>
    <x v="0"/>
  </r>
  <r>
    <s v="TXN0552"/>
    <d v="2026-06-15T00:00:00"/>
    <s v="P006"/>
    <x v="0"/>
    <x v="0"/>
    <s v="Mega Electric"/>
    <n v="50"/>
    <n v="5"/>
    <x v="199"/>
    <n v="46"/>
    <n v="193.08"/>
    <n v="8881.68"/>
    <x v="2"/>
  </r>
  <r>
    <s v="TXN0553"/>
    <d v="2026-09-27T00:00:00"/>
    <s v="P004"/>
    <x v="1"/>
    <x v="1"/>
    <s v="Maju Industrial"/>
    <n v="460"/>
    <n v="93"/>
    <x v="200"/>
    <n v="535"/>
    <n v="63.52"/>
    <n v="33983.199999999997"/>
    <x v="1"/>
  </r>
  <r>
    <s v="TXN0554"/>
    <d v="2026-02-21T00:00:00"/>
    <s v="P013"/>
    <x v="19"/>
    <x v="3"/>
    <s v="LogiEquip"/>
    <n v="192"/>
    <n v="77"/>
    <x v="103"/>
    <n v="187"/>
    <n v="9.75"/>
    <n v="1823.25"/>
    <x v="2"/>
  </r>
  <r>
    <s v="TXN0555"/>
    <d v="2026-09-07T00:00:00"/>
    <s v="P014"/>
    <x v="10"/>
    <x v="3"/>
    <s v="LogiEquip"/>
    <n v="352"/>
    <n v="81"/>
    <x v="167"/>
    <n v="389"/>
    <n v="60"/>
    <n v="23340"/>
    <x v="1"/>
  </r>
  <r>
    <s v="TXN0556"/>
    <d v="2026-07-02T00:00:00"/>
    <s v="P020"/>
    <x v="14"/>
    <x v="2"/>
    <s v="PackRight Trading"/>
    <n v="134"/>
    <n v="170"/>
    <x v="191"/>
    <n v="154"/>
    <n v="5.04"/>
    <n v="776.16"/>
    <x v="0"/>
  </r>
  <r>
    <s v="TXN0557"/>
    <d v="2026-05-31T00:00:00"/>
    <s v="P010"/>
    <x v="12"/>
    <x v="1"/>
    <s v="TechParts Malaysia"/>
    <n v="85"/>
    <n v="45"/>
    <x v="193"/>
    <n v="130"/>
    <n v="12.06"/>
    <n v="1567.8"/>
    <x v="1"/>
  </r>
  <r>
    <s v="TXN0558"/>
    <d v="2026-01-17T00:00:00"/>
    <s v="P013"/>
    <x v="19"/>
    <x v="3"/>
    <s v="LogiEquip"/>
    <n v="113"/>
    <n v="154"/>
    <x v="133"/>
    <n v="186"/>
    <n v="11.05"/>
    <n v="2055.3000000000002"/>
    <x v="1"/>
  </r>
  <r>
    <s v="TXN0559"/>
    <d v="2026-02-23T00:00:00"/>
    <s v="P008"/>
    <x v="7"/>
    <x v="2"/>
    <s v="PackRight Trading"/>
    <n v="499"/>
    <n v="127"/>
    <x v="117"/>
    <n v="590"/>
    <n v="26.35"/>
    <n v="15546.5"/>
    <x v="2"/>
  </r>
  <r>
    <s v="TXN0560"/>
    <d v="2026-06-27T00:00:00"/>
    <s v="P008"/>
    <x v="7"/>
    <x v="2"/>
    <s v="PackRight Trading"/>
    <n v="183"/>
    <n v="42"/>
    <x v="140"/>
    <n v="63"/>
    <n v="28.75"/>
    <n v="1811.25"/>
    <x v="2"/>
  </r>
  <r>
    <s v="TXN0561"/>
    <d v="2026-08-17T00:00:00"/>
    <s v="P011"/>
    <x v="11"/>
    <x v="0"/>
    <s v="TechParts Malaysia"/>
    <n v="25"/>
    <n v="67"/>
    <x v="201"/>
    <n v="66"/>
    <n v="61.02"/>
    <n v="4027.32"/>
    <x v="2"/>
  </r>
  <r>
    <s v="TXN0562"/>
    <d v="2026-05-12T00:00:00"/>
    <s v="P012"/>
    <x v="5"/>
    <x v="4"/>
    <s v="SafePro Supplies"/>
    <n v="422"/>
    <n v="27"/>
    <x v="202"/>
    <n v="265"/>
    <n v="131.57"/>
    <n v="34866.050000000003"/>
    <x v="0"/>
  </r>
  <r>
    <s v="TXN0563"/>
    <d v="2026-08-03T00:00:00"/>
    <s v="P015"/>
    <x v="8"/>
    <x v="2"/>
    <s v="Johor Packaging"/>
    <n v="105"/>
    <n v="105"/>
    <x v="83"/>
    <n v="84"/>
    <n v="194.2"/>
    <n v="16312.8"/>
    <x v="0"/>
  </r>
  <r>
    <s v="TXN0564"/>
    <d v="2026-07-12T00:00:00"/>
    <s v="P018"/>
    <x v="6"/>
    <x v="4"/>
    <s v="SafePro Supplies"/>
    <n v="71"/>
    <n v="122"/>
    <x v="53"/>
    <n v="46"/>
    <n v="170.24"/>
    <n v="7831.04"/>
    <x v="1"/>
  </r>
  <r>
    <s v="TXN0565"/>
    <d v="2026-03-25T00:00:00"/>
    <s v="P008"/>
    <x v="7"/>
    <x v="2"/>
    <s v="PackRight Trading"/>
    <n v="251"/>
    <n v="18"/>
    <x v="69"/>
    <n v="65"/>
    <n v="28.58"/>
    <n v="1857.7"/>
    <x v="0"/>
  </r>
  <r>
    <s v="TXN0566"/>
    <d v="2026-06-13T00:00:00"/>
    <s v="P001"/>
    <x v="17"/>
    <x v="1"/>
    <s v="Maju Industrial"/>
    <n v="153"/>
    <n v="26"/>
    <x v="200"/>
    <n v="161"/>
    <n v="175.56"/>
    <n v="28265.16"/>
    <x v="0"/>
  </r>
  <r>
    <s v="TXN0567"/>
    <d v="2026-02-08T00:00:00"/>
    <s v="P006"/>
    <x v="0"/>
    <x v="0"/>
    <s v="Mega Electric"/>
    <n v="300"/>
    <n v="23"/>
    <x v="29"/>
    <n v="237"/>
    <n v="193.31"/>
    <n v="45814.47"/>
    <x v="1"/>
  </r>
  <r>
    <s v="TXN0568"/>
    <d v="2026-01-16T00:00:00"/>
    <s v="P016"/>
    <x v="18"/>
    <x v="1"/>
    <s v="Maju Industrial"/>
    <n v="240"/>
    <n v="167"/>
    <x v="160"/>
    <n v="365"/>
    <n v="156.59"/>
    <n v="57155.35"/>
    <x v="0"/>
  </r>
  <r>
    <s v="TXN0569"/>
    <d v="2026-01-28T00:00:00"/>
    <s v="P006"/>
    <x v="0"/>
    <x v="0"/>
    <s v="Mega Electric"/>
    <n v="71"/>
    <n v="84"/>
    <x v="67"/>
    <n v="103"/>
    <n v="204.9"/>
    <n v="21104.7"/>
    <x v="0"/>
  </r>
  <r>
    <s v="TXN0570"/>
    <d v="2026-05-16T00:00:00"/>
    <s v="P018"/>
    <x v="6"/>
    <x v="4"/>
    <s v="SafePro Supplies"/>
    <n v="358"/>
    <n v="72"/>
    <x v="178"/>
    <n v="354"/>
    <n v="159.25"/>
    <n v="56374.5"/>
    <x v="2"/>
  </r>
  <r>
    <s v="TXN0571"/>
    <d v="2026-09-09T00:00:00"/>
    <s v="P013"/>
    <x v="19"/>
    <x v="3"/>
    <s v="LogiEquip"/>
    <n v="98"/>
    <n v="13"/>
    <x v="146"/>
    <n v="65"/>
    <n v="9.5299999999999994"/>
    <n v="619.45000000000005"/>
    <x v="2"/>
  </r>
  <r>
    <s v="TXN0572"/>
    <d v="2026-09-03T00:00:00"/>
    <s v="P010"/>
    <x v="12"/>
    <x v="1"/>
    <s v="TechParts Malaysia"/>
    <n v="122"/>
    <n v="24"/>
    <x v="70"/>
    <n v="140"/>
    <n v="10.73"/>
    <n v="1502.2"/>
    <x v="1"/>
  </r>
  <r>
    <s v="TXN0573"/>
    <d v="2026-02-11T00:00:00"/>
    <s v="P010"/>
    <x v="12"/>
    <x v="1"/>
    <s v="TechParts Malaysia"/>
    <n v="262"/>
    <n v="29"/>
    <x v="136"/>
    <n v="213"/>
    <n v="11.77"/>
    <n v="2507.0100000000002"/>
    <x v="0"/>
  </r>
  <r>
    <s v="TXN0574"/>
    <d v="2026-05-16T00:00:00"/>
    <s v="P016"/>
    <x v="18"/>
    <x v="1"/>
    <s v="Maju Industrial"/>
    <n v="66"/>
    <n v="164"/>
    <x v="97"/>
    <n v="91"/>
    <n v="151.18"/>
    <n v="13757.38"/>
    <x v="0"/>
  </r>
  <r>
    <s v="TXN0575"/>
    <d v="2026-07-09T00:00:00"/>
    <s v="P013"/>
    <x v="19"/>
    <x v="3"/>
    <s v="LogiEquip"/>
    <n v="115"/>
    <n v="114"/>
    <x v="4"/>
    <n v="218"/>
    <n v="9.9600000000000009"/>
    <n v="2171.2800000000002"/>
    <x v="0"/>
  </r>
  <r>
    <s v="TXN0576"/>
    <d v="2026-04-26T00:00:00"/>
    <s v="P009"/>
    <x v="2"/>
    <x v="2"/>
    <s v="Johor Packaging"/>
    <n v="448"/>
    <n v="68"/>
    <x v="76"/>
    <n v="372"/>
    <n v="111.46"/>
    <n v="41463.120000000003"/>
    <x v="1"/>
  </r>
  <r>
    <s v="TXN0577"/>
    <d v="2026-02-13T00:00:00"/>
    <s v="P004"/>
    <x v="1"/>
    <x v="1"/>
    <s v="Maju Industrial"/>
    <n v="362"/>
    <n v="88"/>
    <x v="27"/>
    <n v="244"/>
    <n v="65.260000000000005"/>
    <n v="15923.44"/>
    <x v="1"/>
  </r>
  <r>
    <s v="TXN0578"/>
    <d v="2026-02-01T00:00:00"/>
    <s v="P008"/>
    <x v="7"/>
    <x v="2"/>
    <s v="PackRight Trading"/>
    <n v="450"/>
    <n v="99"/>
    <x v="169"/>
    <n v="340"/>
    <n v="27.18"/>
    <n v="9241.2000000000007"/>
    <x v="1"/>
  </r>
  <r>
    <s v="TXN0579"/>
    <d v="2026-05-01T00:00:00"/>
    <s v="P016"/>
    <x v="18"/>
    <x v="1"/>
    <s v="Maju Industrial"/>
    <n v="263"/>
    <n v="76"/>
    <x v="66"/>
    <n v="319"/>
    <n v="151.36000000000001"/>
    <n v="48283.839999999997"/>
    <x v="1"/>
  </r>
  <r>
    <s v="TXN0580"/>
    <d v="2026-09-15T00:00:00"/>
    <s v="P002"/>
    <x v="15"/>
    <x v="4"/>
    <s v="SafePro Supplies"/>
    <n v="312"/>
    <n v="132"/>
    <x v="69"/>
    <n v="240"/>
    <n v="10.039999999999999"/>
    <n v="2409.6"/>
    <x v="1"/>
  </r>
  <r>
    <s v="TXN0581"/>
    <d v="2026-03-03T00:00:00"/>
    <s v="P005"/>
    <x v="13"/>
    <x v="0"/>
    <s v="Mega Electric"/>
    <n v="407"/>
    <n v="114"/>
    <x v="167"/>
    <n v="477"/>
    <n v="221.88"/>
    <n v="105836.76"/>
    <x v="2"/>
  </r>
  <r>
    <s v="TXN0582"/>
    <d v="2026-04-09T00:00:00"/>
    <s v="P007"/>
    <x v="16"/>
    <x v="4"/>
    <s v="SafePro Supplies"/>
    <n v="84"/>
    <n v="10"/>
    <x v="26"/>
    <n v="40"/>
    <n v="233.26"/>
    <n v="9330.4"/>
    <x v="1"/>
  </r>
  <r>
    <s v="TXN0583"/>
    <d v="2026-04-14T00:00:00"/>
    <s v="P014"/>
    <x v="10"/>
    <x v="3"/>
    <s v="LogiEquip"/>
    <n v="441"/>
    <n v="160"/>
    <x v="60"/>
    <n v="564"/>
    <n v="61.18"/>
    <n v="34505.519999999997"/>
    <x v="0"/>
  </r>
  <r>
    <s v="TXN0584"/>
    <d v="2026-02-04T00:00:00"/>
    <s v="P011"/>
    <x v="11"/>
    <x v="0"/>
    <s v="TechParts Malaysia"/>
    <n v="64"/>
    <n v="99"/>
    <x v="144"/>
    <n v="21"/>
    <n v="62.52"/>
    <n v="1312.92"/>
    <x v="0"/>
  </r>
  <r>
    <s v="TXN0585"/>
    <d v="2026-09-24T00:00:00"/>
    <s v="P009"/>
    <x v="2"/>
    <x v="2"/>
    <s v="Johor Packaging"/>
    <n v="254"/>
    <n v="3"/>
    <x v="56"/>
    <n v="56"/>
    <n v="123.72"/>
    <n v="6928.32"/>
    <x v="1"/>
  </r>
  <r>
    <s v="TXN0586"/>
    <d v="2026-08-03T00:00:00"/>
    <s v="P017"/>
    <x v="9"/>
    <x v="0"/>
    <s v="Mega Electric"/>
    <n v="77"/>
    <n v="106"/>
    <x v="47"/>
    <n v="145"/>
    <n v="60.46"/>
    <n v="8766.7000000000007"/>
    <x v="1"/>
  </r>
  <r>
    <s v="TXN0587"/>
    <d v="2026-02-21T00:00:00"/>
    <s v="P019"/>
    <x v="4"/>
    <x v="3"/>
    <s v="LogiEquip"/>
    <n v="493"/>
    <n v="27"/>
    <x v="76"/>
    <n v="376"/>
    <n v="237.37"/>
    <n v="89251.12"/>
    <x v="0"/>
  </r>
  <r>
    <s v="TXN0588"/>
    <d v="2026-06-26T00:00:00"/>
    <s v="P018"/>
    <x v="6"/>
    <x v="4"/>
    <s v="SafePro Supplies"/>
    <n v="469"/>
    <n v="105"/>
    <x v="95"/>
    <n v="507"/>
    <n v="163.12"/>
    <n v="82701.84"/>
    <x v="0"/>
  </r>
  <r>
    <s v="TXN0589"/>
    <d v="2026-08-31T00:00:00"/>
    <s v="P019"/>
    <x v="4"/>
    <x v="3"/>
    <s v="LogiEquip"/>
    <n v="39"/>
    <n v="44"/>
    <x v="186"/>
    <n v="48"/>
    <n v="223.68"/>
    <n v="10736.64"/>
    <x v="1"/>
  </r>
  <r>
    <s v="TXN0590"/>
    <d v="2026-07-25T00:00:00"/>
    <s v="P020"/>
    <x v="14"/>
    <x v="2"/>
    <s v="PackRight Trading"/>
    <n v="39"/>
    <n v="101"/>
    <x v="126"/>
    <n v="56"/>
    <n v="4.95"/>
    <n v="277.2"/>
    <x v="2"/>
  </r>
  <r>
    <s v="TXN0591"/>
    <d v="2026-05-18T00:00:00"/>
    <s v="P016"/>
    <x v="18"/>
    <x v="1"/>
    <s v="Maju Industrial"/>
    <n v="479"/>
    <n v="95"/>
    <x v="75"/>
    <n v="569"/>
    <n v="149.96"/>
    <n v="85327.24"/>
    <x v="0"/>
  </r>
  <r>
    <s v="TXN0592"/>
    <d v="2026-05-24T00:00:00"/>
    <s v="P010"/>
    <x v="12"/>
    <x v="1"/>
    <s v="TechParts Malaysia"/>
    <n v="451"/>
    <n v="125"/>
    <x v="102"/>
    <n v="357"/>
    <n v="11.61"/>
    <n v="4144.7700000000004"/>
    <x v="2"/>
  </r>
  <r>
    <s v="TXN0593"/>
    <d v="2026-03-10T00:00:00"/>
    <s v="P008"/>
    <x v="7"/>
    <x v="2"/>
    <s v="PackRight Trading"/>
    <n v="173"/>
    <n v="113"/>
    <x v="120"/>
    <n v="88"/>
    <n v="28.49"/>
    <n v="2507.12"/>
    <x v="0"/>
  </r>
  <r>
    <s v="TXN0594"/>
    <d v="2026-02-15T00:00:00"/>
    <s v="P014"/>
    <x v="10"/>
    <x v="3"/>
    <s v="LogiEquip"/>
    <n v="116"/>
    <n v="113"/>
    <x v="26"/>
    <n v="175"/>
    <n v="61.92"/>
    <n v="10836"/>
    <x v="0"/>
  </r>
  <r>
    <s v="TXN0595"/>
    <d v="2026-09-22T00:00:00"/>
    <s v="P016"/>
    <x v="18"/>
    <x v="1"/>
    <s v="Maju Industrial"/>
    <n v="464"/>
    <n v="95"/>
    <x v="100"/>
    <n v="349"/>
    <n v="143.02000000000001"/>
    <n v="49913.98"/>
    <x v="2"/>
  </r>
  <r>
    <s v="TXN0596"/>
    <d v="2026-06-09T00:00:00"/>
    <s v="P003"/>
    <x v="3"/>
    <x v="2"/>
    <s v="PackRight Trading"/>
    <n v="383"/>
    <n v="129"/>
    <x v="86"/>
    <n v="409"/>
    <n v="74.569999999999993"/>
    <n v="30499.13"/>
    <x v="1"/>
  </r>
  <r>
    <s v="TXN0597"/>
    <d v="2026-01-15T00:00:00"/>
    <s v="P019"/>
    <x v="4"/>
    <x v="3"/>
    <s v="LogiEquip"/>
    <n v="108"/>
    <n v="49"/>
    <x v="185"/>
    <n v="106"/>
    <n v="239.46"/>
    <n v="25382.76"/>
    <x v="2"/>
  </r>
  <r>
    <s v="TXN0598"/>
    <d v="2026-08-22T00:00:00"/>
    <s v="P002"/>
    <x v="15"/>
    <x v="4"/>
    <s v="SafePro Supplies"/>
    <n v="45"/>
    <n v="92"/>
    <x v="118"/>
    <n v="87"/>
    <n v="9.57"/>
    <n v="832.59"/>
    <x v="0"/>
  </r>
  <r>
    <s v="TXN0599"/>
    <d v="2026-07-23T00:00:00"/>
    <s v="P017"/>
    <x v="9"/>
    <x v="0"/>
    <s v="Mega Electric"/>
    <n v="345"/>
    <n v="31"/>
    <x v="14"/>
    <n v="202"/>
    <n v="59.25"/>
    <n v="11968.5"/>
    <x v="0"/>
  </r>
  <r>
    <s v="TXN0600"/>
    <d v="2026-08-17T00:00:00"/>
    <s v="P016"/>
    <x v="18"/>
    <x v="1"/>
    <s v="Maju Industrial"/>
    <n v="110"/>
    <n v="121"/>
    <x v="191"/>
    <n v="81"/>
    <n v="155.21"/>
    <n v="12572.01"/>
    <x v="0"/>
  </r>
  <r>
    <s v="TXN0601"/>
    <d v="2026-05-13T00:00:00"/>
    <s v="P006"/>
    <x v="0"/>
    <x v="0"/>
    <s v="Mega Electric"/>
    <n v="403"/>
    <n v="176"/>
    <x v="101"/>
    <n v="556"/>
    <n v="183.9"/>
    <n v="102248.4"/>
    <x v="0"/>
  </r>
  <r>
    <s v="TXN0602"/>
    <d v="2026-03-25T00:00:00"/>
    <s v="P002"/>
    <x v="15"/>
    <x v="4"/>
    <s v="SafePro Supplies"/>
    <n v="457"/>
    <n v="146"/>
    <x v="203"/>
    <n v="404"/>
    <n v="10.67"/>
    <n v="4310.68"/>
    <x v="2"/>
  </r>
  <r>
    <s v="TXN0603"/>
    <d v="2026-04-16T00:00:00"/>
    <s v="P008"/>
    <x v="7"/>
    <x v="2"/>
    <s v="PackRight Trading"/>
    <n v="157"/>
    <n v="166"/>
    <x v="204"/>
    <n v="219"/>
    <n v="27.14"/>
    <n v="5943.66"/>
    <x v="1"/>
  </r>
  <r>
    <s v="TXN0604"/>
    <d v="2026-08-31T00:00:00"/>
    <s v="P001"/>
    <x v="17"/>
    <x v="1"/>
    <s v="Maju Industrial"/>
    <n v="486"/>
    <n v="33"/>
    <x v="85"/>
    <n v="354"/>
    <n v="170.7"/>
    <n v="60427.8"/>
    <x v="2"/>
  </r>
  <r>
    <s v="TXN0605"/>
    <d v="2026-05-10T00:00:00"/>
    <s v="P008"/>
    <x v="7"/>
    <x v="2"/>
    <s v="PackRight Trading"/>
    <n v="331"/>
    <n v="78"/>
    <x v="183"/>
    <n v="227"/>
    <n v="29.11"/>
    <n v="6607.97"/>
    <x v="1"/>
  </r>
  <r>
    <s v="TXN0606"/>
    <d v="2026-08-05T00:00:00"/>
    <s v="P009"/>
    <x v="2"/>
    <x v="2"/>
    <s v="Johor Packaging"/>
    <n v="478"/>
    <n v="96"/>
    <x v="205"/>
    <n v="356"/>
    <n v="116.97"/>
    <n v="41641.32"/>
    <x v="0"/>
  </r>
  <r>
    <s v="TXN0607"/>
    <d v="2026-08-27T00:00:00"/>
    <s v="P007"/>
    <x v="16"/>
    <x v="4"/>
    <s v="SafePro Supplies"/>
    <n v="174"/>
    <n v="173"/>
    <x v="206"/>
    <n v="214"/>
    <n v="263.11"/>
    <n v="56305.54"/>
    <x v="0"/>
  </r>
  <r>
    <s v="TXN0608"/>
    <d v="2026-02-22T00:00:00"/>
    <s v="P019"/>
    <x v="4"/>
    <x v="3"/>
    <s v="LogiEquip"/>
    <n v="23"/>
    <n v="130"/>
    <x v="22"/>
    <n v="58"/>
    <n v="229.45"/>
    <n v="13308.1"/>
    <x v="1"/>
  </r>
  <r>
    <s v="TXN0609"/>
    <d v="2026-05-25T00:00:00"/>
    <s v="P020"/>
    <x v="14"/>
    <x v="2"/>
    <s v="PackRight Trading"/>
    <n v="172"/>
    <n v="175"/>
    <x v="43"/>
    <n v="320"/>
    <n v="4.79"/>
    <n v="1532.8"/>
    <x v="0"/>
  </r>
  <r>
    <s v="TXN0610"/>
    <d v="2026-06-16T00:00:00"/>
    <s v="P009"/>
    <x v="2"/>
    <x v="2"/>
    <s v="Johor Packaging"/>
    <n v="461"/>
    <n v="70"/>
    <x v="207"/>
    <n v="465"/>
    <n v="122.87"/>
    <n v="57134.55"/>
    <x v="1"/>
  </r>
  <r>
    <s v="TXN0611"/>
    <d v="2026-04-07T00:00:00"/>
    <s v="P010"/>
    <x v="12"/>
    <x v="1"/>
    <s v="TechParts Malaysia"/>
    <n v="96"/>
    <n v="132"/>
    <x v="157"/>
    <n v="33"/>
    <n v="10.79"/>
    <n v="356.07"/>
    <x v="2"/>
  </r>
  <r>
    <s v="TXN0612"/>
    <d v="2026-07-26T00:00:00"/>
    <s v="P020"/>
    <x v="14"/>
    <x v="2"/>
    <s v="PackRight Trading"/>
    <n v="358"/>
    <n v="81"/>
    <x v="14"/>
    <n v="265"/>
    <n v="4.5199999999999996"/>
    <n v="1197.8"/>
    <x v="2"/>
  </r>
  <r>
    <s v="TXN0613"/>
    <d v="2026-06-01T00:00:00"/>
    <s v="P016"/>
    <x v="18"/>
    <x v="1"/>
    <s v="Maju Industrial"/>
    <n v="152"/>
    <n v="107"/>
    <x v="86"/>
    <n v="156"/>
    <n v="151.19999999999999"/>
    <n v="23587.200000000001"/>
    <x v="2"/>
  </r>
  <r>
    <s v="TXN0614"/>
    <d v="2026-04-08T00:00:00"/>
    <s v="P019"/>
    <x v="4"/>
    <x v="3"/>
    <s v="LogiEquip"/>
    <n v="195"/>
    <n v="56"/>
    <x v="54"/>
    <n v="76"/>
    <n v="228.47"/>
    <n v="17363.72"/>
    <x v="0"/>
  </r>
  <r>
    <s v="TXN0615"/>
    <d v="2026-09-17T00:00:00"/>
    <s v="P012"/>
    <x v="5"/>
    <x v="4"/>
    <s v="SafePro Supplies"/>
    <n v="173"/>
    <n v="43"/>
    <x v="8"/>
    <n v="1"/>
    <n v="146.59"/>
    <n v="146.59"/>
    <x v="1"/>
  </r>
  <r>
    <s v="TXN0616"/>
    <d v="2026-05-31T00:00:00"/>
    <s v="P006"/>
    <x v="0"/>
    <x v="0"/>
    <s v="Mega Electric"/>
    <n v="69"/>
    <n v="120"/>
    <x v="90"/>
    <n v="157"/>
    <n v="197.79"/>
    <n v="31053.03"/>
    <x v="1"/>
  </r>
  <r>
    <s v="TXN0617"/>
    <d v="2026-04-04T00:00:00"/>
    <s v="P018"/>
    <x v="6"/>
    <x v="4"/>
    <s v="SafePro Supplies"/>
    <n v="368"/>
    <n v="85"/>
    <x v="208"/>
    <n v="286"/>
    <n v="155.30000000000001"/>
    <n v="44415.8"/>
    <x v="0"/>
  </r>
  <r>
    <s v="TXN0618"/>
    <d v="2026-06-07T00:00:00"/>
    <s v="P008"/>
    <x v="7"/>
    <x v="2"/>
    <s v="PackRight Trading"/>
    <n v="235"/>
    <n v="84"/>
    <x v="22"/>
    <n v="224"/>
    <n v="26.04"/>
    <n v="5832.96"/>
    <x v="0"/>
  </r>
  <r>
    <s v="TXN0619"/>
    <d v="2026-03-02T00:00:00"/>
    <s v="P015"/>
    <x v="8"/>
    <x v="2"/>
    <s v="Johor Packaging"/>
    <n v="260"/>
    <n v="13"/>
    <x v="140"/>
    <n v="111"/>
    <n v="185.47"/>
    <n v="20587.169999999998"/>
    <x v="1"/>
  </r>
  <r>
    <s v="TXN0620"/>
    <d v="2026-08-30T00:00:00"/>
    <s v="P003"/>
    <x v="3"/>
    <x v="2"/>
    <s v="PackRight Trading"/>
    <n v="475"/>
    <n v="49"/>
    <x v="37"/>
    <n v="396"/>
    <n v="74.37"/>
    <n v="29450.52"/>
    <x v="1"/>
  </r>
  <r>
    <s v="TXN0621"/>
    <d v="2026-09-29T00:00:00"/>
    <s v="P013"/>
    <x v="19"/>
    <x v="3"/>
    <s v="LogiEquip"/>
    <n v="172"/>
    <n v="105"/>
    <x v="148"/>
    <n v="264"/>
    <n v="10.96"/>
    <n v="2893.44"/>
    <x v="2"/>
  </r>
  <r>
    <s v="TXN0622"/>
    <d v="2026-04-13T00:00:00"/>
    <s v="P005"/>
    <x v="13"/>
    <x v="0"/>
    <s v="Mega Electric"/>
    <n v="195"/>
    <n v="104"/>
    <x v="39"/>
    <n v="154"/>
    <n v="220.01"/>
    <n v="33881.54"/>
    <x v="0"/>
  </r>
  <r>
    <s v="TXN0623"/>
    <d v="2026-06-11T00:00:00"/>
    <s v="P005"/>
    <x v="13"/>
    <x v="0"/>
    <s v="Mega Electric"/>
    <n v="461"/>
    <n v="46"/>
    <x v="203"/>
    <n v="308"/>
    <n v="193.12"/>
    <n v="59480.959999999999"/>
    <x v="0"/>
  </r>
  <r>
    <s v="TXN0624"/>
    <d v="2026-06-10T00:00:00"/>
    <s v="P006"/>
    <x v="0"/>
    <x v="0"/>
    <s v="Mega Electric"/>
    <n v="344"/>
    <n v="14"/>
    <x v="24"/>
    <n v="357"/>
    <n v="188.98"/>
    <n v="67465.86"/>
    <x v="2"/>
  </r>
  <r>
    <s v="TXN0625"/>
    <d v="2026-03-23T00:00:00"/>
    <s v="P006"/>
    <x v="0"/>
    <x v="0"/>
    <s v="Mega Electric"/>
    <n v="270"/>
    <n v="22"/>
    <x v="127"/>
    <n v="259"/>
    <n v="193.93"/>
    <n v="50227.87"/>
    <x v="1"/>
  </r>
  <r>
    <s v="TXN0626"/>
    <d v="2026-07-26T00:00:00"/>
    <s v="P014"/>
    <x v="10"/>
    <x v="3"/>
    <s v="LogiEquip"/>
    <n v="239"/>
    <n v="122"/>
    <x v="109"/>
    <n v="263"/>
    <n v="53.48"/>
    <n v="14065.24"/>
    <x v="1"/>
  </r>
  <r>
    <s v="TXN0627"/>
    <d v="2026-07-11T00:00:00"/>
    <s v="P007"/>
    <x v="16"/>
    <x v="4"/>
    <s v="SafePro Supplies"/>
    <n v="27"/>
    <n v="82"/>
    <x v="177"/>
    <n v="13"/>
    <n v="263.47000000000003"/>
    <n v="3425.11"/>
    <x v="2"/>
  </r>
  <r>
    <s v="TXN0628"/>
    <d v="2026-01-03T00:00:00"/>
    <s v="P001"/>
    <x v="17"/>
    <x v="1"/>
    <s v="Maju Industrial"/>
    <n v="340"/>
    <n v="63"/>
    <x v="58"/>
    <n v="346"/>
    <n v="185.7"/>
    <n v="64252.2"/>
    <x v="0"/>
  </r>
  <r>
    <s v="TXN0629"/>
    <d v="2026-03-08T00:00:00"/>
    <s v="P010"/>
    <x v="12"/>
    <x v="1"/>
    <s v="TechParts Malaysia"/>
    <n v="72"/>
    <n v="98"/>
    <x v="37"/>
    <n v="42"/>
    <n v="11.41"/>
    <n v="479.22"/>
    <x v="2"/>
  </r>
  <r>
    <s v="TXN0630"/>
    <d v="2026-01-24T00:00:00"/>
    <s v="P003"/>
    <x v="3"/>
    <x v="2"/>
    <s v="PackRight Trading"/>
    <n v="172"/>
    <n v="74"/>
    <x v="88"/>
    <n v="130"/>
    <n v="82.07"/>
    <n v="10669.1"/>
    <x v="1"/>
  </r>
  <r>
    <s v="TXN0631"/>
    <d v="2026-06-22T00:00:00"/>
    <s v="P017"/>
    <x v="9"/>
    <x v="0"/>
    <s v="Mega Electric"/>
    <n v="242"/>
    <n v="175"/>
    <x v="209"/>
    <n v="383"/>
    <n v="62.45"/>
    <n v="23918.35"/>
    <x v="0"/>
  </r>
  <r>
    <s v="TXN0632"/>
    <d v="2026-04-07T00:00:00"/>
    <s v="P012"/>
    <x v="5"/>
    <x v="4"/>
    <s v="SafePro Supplies"/>
    <n v="104"/>
    <n v="103"/>
    <x v="181"/>
    <n v="203"/>
    <n v="136.77000000000001"/>
    <n v="27764.31"/>
    <x v="1"/>
  </r>
  <r>
    <s v="TXN0633"/>
    <d v="2026-04-19T00:00:00"/>
    <s v="P005"/>
    <x v="13"/>
    <x v="0"/>
    <s v="Mega Electric"/>
    <n v="395"/>
    <n v="5"/>
    <x v="191"/>
    <n v="250"/>
    <n v="207.16"/>
    <n v="51790"/>
    <x v="2"/>
  </r>
  <r>
    <s v="TXN0634"/>
    <d v="2026-01-20T00:00:00"/>
    <s v="P012"/>
    <x v="5"/>
    <x v="4"/>
    <s v="SafePro Supplies"/>
    <n v="212"/>
    <n v="163"/>
    <x v="197"/>
    <n v="310"/>
    <n v="149.19"/>
    <n v="46248.9"/>
    <x v="1"/>
  </r>
  <r>
    <s v="TXN0635"/>
    <d v="2026-01-25T00:00:00"/>
    <s v="P002"/>
    <x v="15"/>
    <x v="4"/>
    <s v="SafePro Supplies"/>
    <n v="358"/>
    <n v="27"/>
    <x v="208"/>
    <n v="218"/>
    <n v="10.46"/>
    <n v="2280.2800000000002"/>
    <x v="2"/>
  </r>
  <r>
    <s v="TXN0636"/>
    <d v="2026-08-02T00:00:00"/>
    <s v="P004"/>
    <x v="1"/>
    <x v="1"/>
    <s v="Maju Industrial"/>
    <n v="247"/>
    <n v="97"/>
    <x v="158"/>
    <n v="313"/>
    <n v="65.319999999999993"/>
    <n v="20445.16"/>
    <x v="0"/>
  </r>
  <r>
    <s v="TXN0637"/>
    <d v="2026-04-16T00:00:00"/>
    <s v="P005"/>
    <x v="13"/>
    <x v="0"/>
    <s v="Mega Electric"/>
    <n v="375"/>
    <n v="175"/>
    <x v="153"/>
    <n v="389"/>
    <n v="190.75"/>
    <n v="74201.75"/>
    <x v="0"/>
  </r>
  <r>
    <s v="TXN0638"/>
    <d v="2026-09-24T00:00:00"/>
    <s v="P004"/>
    <x v="1"/>
    <x v="1"/>
    <s v="Maju Industrial"/>
    <n v="158"/>
    <n v="159"/>
    <x v="77"/>
    <n v="162"/>
    <n v="66.91"/>
    <n v="10839.42"/>
    <x v="0"/>
  </r>
  <r>
    <s v="TXN0639"/>
    <d v="2026-09-19T00:00:00"/>
    <s v="P004"/>
    <x v="1"/>
    <x v="1"/>
    <s v="Maju Industrial"/>
    <n v="388"/>
    <n v="158"/>
    <x v="210"/>
    <n v="516"/>
    <n v="62.58"/>
    <n v="32291.279999999999"/>
    <x v="2"/>
  </r>
  <r>
    <s v="TXN0640"/>
    <d v="2026-04-12T00:00:00"/>
    <s v="P016"/>
    <x v="18"/>
    <x v="1"/>
    <s v="Maju Industrial"/>
    <n v="331"/>
    <n v="51"/>
    <x v="203"/>
    <n v="183"/>
    <n v="148.11000000000001"/>
    <n v="27104.13"/>
    <x v="1"/>
  </r>
  <r>
    <s v="TXN0641"/>
    <d v="2026-07-03T00:00:00"/>
    <s v="P007"/>
    <x v="16"/>
    <x v="4"/>
    <s v="SafePro Supplies"/>
    <n v="380"/>
    <n v="104"/>
    <x v="194"/>
    <n v="409"/>
    <n v="236.54"/>
    <n v="96744.86"/>
    <x v="1"/>
  </r>
  <r>
    <s v="TXN0642"/>
    <d v="2026-04-17T00:00:00"/>
    <s v="P016"/>
    <x v="18"/>
    <x v="1"/>
    <s v="Maju Industrial"/>
    <n v="372"/>
    <n v="123"/>
    <x v="126"/>
    <n v="411"/>
    <n v="147.41"/>
    <n v="60585.51"/>
    <x v="2"/>
  </r>
  <r>
    <s v="TXN0643"/>
    <d v="2026-02-26T00:00:00"/>
    <s v="P003"/>
    <x v="3"/>
    <x v="2"/>
    <s v="PackRight Trading"/>
    <n v="447"/>
    <n v="146"/>
    <x v="211"/>
    <n v="422"/>
    <n v="79.11"/>
    <n v="33384.42"/>
    <x v="2"/>
  </r>
  <r>
    <s v="TXN0644"/>
    <d v="2026-02-08T00:00:00"/>
    <s v="P017"/>
    <x v="9"/>
    <x v="0"/>
    <s v="Mega Electric"/>
    <n v="390"/>
    <n v="25"/>
    <x v="197"/>
    <n v="350"/>
    <n v="65.540000000000006"/>
    <n v="22939"/>
    <x v="0"/>
  </r>
  <r>
    <s v="TXN0645"/>
    <d v="2026-05-16T00:00:00"/>
    <s v="P010"/>
    <x v="12"/>
    <x v="1"/>
    <s v="TechParts Malaysia"/>
    <n v="257"/>
    <n v="12"/>
    <x v="112"/>
    <n v="244"/>
    <n v="11.82"/>
    <n v="2884.08"/>
    <x v="2"/>
  </r>
  <r>
    <s v="TXN0646"/>
    <d v="2026-07-04T00:00:00"/>
    <s v="P010"/>
    <x v="12"/>
    <x v="1"/>
    <s v="TechParts Malaysia"/>
    <n v="430"/>
    <n v="173"/>
    <x v="89"/>
    <n v="523"/>
    <n v="11.12"/>
    <n v="5815.76"/>
    <x v="2"/>
  </r>
  <r>
    <s v="TXN0647"/>
    <d v="2026-01-24T00:00:00"/>
    <s v="P004"/>
    <x v="1"/>
    <x v="1"/>
    <s v="Maju Industrial"/>
    <n v="24"/>
    <n v="35"/>
    <x v="160"/>
    <n v="17"/>
    <n v="66.36"/>
    <n v="1128.1199999999999"/>
    <x v="0"/>
  </r>
  <r>
    <s v="TXN0648"/>
    <d v="2026-08-13T00:00:00"/>
    <s v="P012"/>
    <x v="5"/>
    <x v="4"/>
    <s v="SafePro Supplies"/>
    <n v="338"/>
    <n v="68"/>
    <x v="80"/>
    <n v="219"/>
    <n v="133.66999999999999"/>
    <n v="29273.73"/>
    <x v="0"/>
  </r>
  <r>
    <s v="TXN0649"/>
    <d v="2026-02-28T00:00:00"/>
    <s v="P006"/>
    <x v="0"/>
    <x v="0"/>
    <s v="Mega Electric"/>
    <n v="225"/>
    <n v="102"/>
    <x v="88"/>
    <n v="211"/>
    <n v="183.49"/>
    <n v="38716.39"/>
    <x v="0"/>
  </r>
  <r>
    <s v="TXN0650"/>
    <d v="2026-08-04T00:00:00"/>
    <s v="P016"/>
    <x v="18"/>
    <x v="1"/>
    <s v="Maju Industrial"/>
    <n v="352"/>
    <n v="42"/>
    <x v="135"/>
    <n v="366"/>
    <n v="144.9"/>
    <n v="53033.4"/>
    <x v="1"/>
  </r>
  <r>
    <s v="TXN0651"/>
    <d v="2026-03-23T00:00:00"/>
    <s v="P002"/>
    <x v="15"/>
    <x v="4"/>
    <s v="SafePro Supplies"/>
    <n v="73"/>
    <n v="106"/>
    <x v="176"/>
    <n v="28"/>
    <n v="9.9"/>
    <n v="277.2"/>
    <x v="1"/>
  </r>
  <r>
    <s v="TXN0652"/>
    <d v="2026-04-03T00:00:00"/>
    <s v="P015"/>
    <x v="8"/>
    <x v="2"/>
    <s v="Johor Packaging"/>
    <n v="332"/>
    <n v="97"/>
    <x v="203"/>
    <n v="230"/>
    <n v="178.88"/>
    <n v="41142.400000000001"/>
    <x v="2"/>
  </r>
  <r>
    <s v="TXN0653"/>
    <d v="2026-09-05T00:00:00"/>
    <s v="P005"/>
    <x v="13"/>
    <x v="0"/>
    <s v="Mega Electric"/>
    <n v="491"/>
    <n v="124"/>
    <x v="135"/>
    <n v="587"/>
    <n v="219.84"/>
    <n v="129046.08"/>
    <x v="0"/>
  </r>
  <r>
    <s v="TXN0654"/>
    <d v="2026-02-02T00:00:00"/>
    <s v="P002"/>
    <x v="15"/>
    <x v="4"/>
    <s v="SafePro Supplies"/>
    <n v="153"/>
    <n v="167"/>
    <x v="89"/>
    <n v="240"/>
    <n v="9.15"/>
    <n v="2196"/>
    <x v="1"/>
  </r>
  <r>
    <s v="TXN0655"/>
    <d v="2026-04-25T00:00:00"/>
    <s v="P017"/>
    <x v="9"/>
    <x v="0"/>
    <s v="Mega Electric"/>
    <n v="362"/>
    <n v="86"/>
    <x v="61"/>
    <n v="316"/>
    <n v="64.3"/>
    <n v="20318.8"/>
    <x v="1"/>
  </r>
  <r>
    <s v="TXN0656"/>
    <d v="2026-02-18T00:00:00"/>
    <s v="P020"/>
    <x v="14"/>
    <x v="2"/>
    <s v="PackRight Trading"/>
    <n v="241"/>
    <n v="169"/>
    <x v="155"/>
    <n v="224"/>
    <n v="4.6100000000000003"/>
    <n v="1032.6400000000001"/>
    <x v="0"/>
  </r>
  <r>
    <s v="TXN0657"/>
    <d v="2026-03-18T00:00:00"/>
    <s v="P013"/>
    <x v="19"/>
    <x v="3"/>
    <s v="LogiEquip"/>
    <n v="449"/>
    <n v="142"/>
    <x v="59"/>
    <n v="435"/>
    <n v="9.61"/>
    <n v="4180.3500000000004"/>
    <x v="1"/>
  </r>
  <r>
    <s v="TXN0658"/>
    <d v="2026-09-16T00:00:00"/>
    <s v="P006"/>
    <x v="0"/>
    <x v="0"/>
    <s v="Mega Electric"/>
    <n v="454"/>
    <n v="120"/>
    <x v="205"/>
    <n v="356"/>
    <n v="190.32"/>
    <n v="67753.919999999998"/>
    <x v="2"/>
  </r>
  <r>
    <s v="TXN0659"/>
    <d v="2026-09-09T00:00:00"/>
    <s v="P003"/>
    <x v="3"/>
    <x v="2"/>
    <s v="PackRight Trading"/>
    <n v="184"/>
    <n v="61"/>
    <x v="126"/>
    <n v="161"/>
    <n v="85.14"/>
    <n v="13707.54"/>
    <x v="2"/>
  </r>
  <r>
    <s v="TXN0660"/>
    <d v="2026-04-25T00:00:00"/>
    <s v="P017"/>
    <x v="9"/>
    <x v="0"/>
    <s v="Mega Electric"/>
    <n v="301"/>
    <n v="164"/>
    <x v="177"/>
    <n v="369"/>
    <n v="63.07"/>
    <n v="23272.83"/>
    <x v="2"/>
  </r>
  <r>
    <s v="TXN0661"/>
    <d v="2026-08-24T00:00:00"/>
    <s v="P003"/>
    <x v="3"/>
    <x v="2"/>
    <s v="PackRight Trading"/>
    <n v="247"/>
    <n v="146"/>
    <x v="30"/>
    <n v="279"/>
    <n v="73.959999999999994"/>
    <n v="20634.84"/>
    <x v="0"/>
  </r>
  <r>
    <s v="TXN0662"/>
    <d v="2026-06-11T00:00:00"/>
    <s v="P015"/>
    <x v="8"/>
    <x v="2"/>
    <s v="Johor Packaging"/>
    <n v="80"/>
    <n v="127"/>
    <x v="63"/>
    <n v="17"/>
    <n v="187.51"/>
    <n v="3187.67"/>
    <x v="2"/>
  </r>
  <r>
    <s v="TXN0663"/>
    <d v="2026-07-31T00:00:00"/>
    <s v="P013"/>
    <x v="19"/>
    <x v="3"/>
    <s v="LogiEquip"/>
    <n v="38"/>
    <n v="142"/>
    <x v="20"/>
    <n v="40"/>
    <n v="9.52"/>
    <n v="380.8"/>
    <x v="2"/>
  </r>
  <r>
    <s v="TXN0664"/>
    <d v="2026-06-05T00:00:00"/>
    <s v="P020"/>
    <x v="14"/>
    <x v="2"/>
    <s v="PackRight Trading"/>
    <n v="475"/>
    <n v="130"/>
    <x v="166"/>
    <n v="462"/>
    <n v="4.58"/>
    <n v="2115.96"/>
    <x v="1"/>
  </r>
  <r>
    <s v="TXN0665"/>
    <d v="2026-06-24T00:00:00"/>
    <s v="P015"/>
    <x v="8"/>
    <x v="2"/>
    <s v="Johor Packaging"/>
    <n v="206"/>
    <n v="13"/>
    <x v="169"/>
    <n v="10"/>
    <n v="174.9"/>
    <n v="1749"/>
    <x v="0"/>
  </r>
  <r>
    <s v="TXN0666"/>
    <d v="2026-08-31T00:00:00"/>
    <s v="P011"/>
    <x v="11"/>
    <x v="0"/>
    <s v="TechParts Malaysia"/>
    <n v="386"/>
    <n v="168"/>
    <x v="122"/>
    <n v="461"/>
    <n v="65.760000000000005"/>
    <n v="30315.360000000001"/>
    <x v="2"/>
  </r>
  <r>
    <s v="TXN0667"/>
    <d v="2026-04-24T00:00:00"/>
    <s v="P004"/>
    <x v="1"/>
    <x v="1"/>
    <s v="Maju Industrial"/>
    <n v="21"/>
    <n v="87"/>
    <x v="51"/>
    <n v="63"/>
    <n v="68.25"/>
    <n v="4299.75"/>
    <x v="0"/>
  </r>
  <r>
    <s v="TXN0668"/>
    <d v="2026-09-25T00:00:00"/>
    <s v="P018"/>
    <x v="6"/>
    <x v="4"/>
    <s v="SafePro Supplies"/>
    <n v="211"/>
    <n v="179"/>
    <x v="43"/>
    <n v="363"/>
    <n v="154.15"/>
    <n v="55956.45"/>
    <x v="2"/>
  </r>
  <r>
    <s v="TXN0669"/>
    <d v="2026-03-13T00:00:00"/>
    <s v="P016"/>
    <x v="18"/>
    <x v="1"/>
    <s v="Maju Industrial"/>
    <n v="440"/>
    <n v="104"/>
    <x v="43"/>
    <n v="517"/>
    <n v="147.9"/>
    <n v="76464.3"/>
    <x v="2"/>
  </r>
  <r>
    <s v="TXN0670"/>
    <d v="2026-03-03T00:00:00"/>
    <s v="P007"/>
    <x v="16"/>
    <x v="4"/>
    <s v="SafePro Supplies"/>
    <n v="496"/>
    <n v="100"/>
    <x v="25"/>
    <n v="541"/>
    <n v="248.41"/>
    <n v="134389.81"/>
    <x v="2"/>
  </r>
  <r>
    <s v="TXN0671"/>
    <d v="2026-02-25T00:00:00"/>
    <s v="P011"/>
    <x v="11"/>
    <x v="0"/>
    <s v="TechParts Malaysia"/>
    <n v="407"/>
    <n v="106"/>
    <x v="4"/>
    <n v="502"/>
    <n v="67.900000000000006"/>
    <n v="34085.800000000003"/>
    <x v="1"/>
  </r>
  <r>
    <s v="TXN0672"/>
    <d v="2026-03-05T00:00:00"/>
    <s v="P019"/>
    <x v="4"/>
    <x v="3"/>
    <s v="LogiEquip"/>
    <n v="415"/>
    <n v="115"/>
    <x v="212"/>
    <n v="413"/>
    <n v="232.97"/>
    <n v="96216.61"/>
    <x v="1"/>
  </r>
  <r>
    <s v="TXN0673"/>
    <d v="2026-09-13T00:00:00"/>
    <s v="P005"/>
    <x v="13"/>
    <x v="0"/>
    <s v="Mega Electric"/>
    <n v="22"/>
    <n v="135"/>
    <x v="134"/>
    <n v="145"/>
    <n v="208.77"/>
    <n v="30271.65"/>
    <x v="0"/>
  </r>
  <r>
    <s v="TXN0674"/>
    <d v="2026-09-05T00:00:00"/>
    <s v="P019"/>
    <x v="4"/>
    <x v="3"/>
    <s v="LogiEquip"/>
    <n v="493"/>
    <n v="130"/>
    <x v="203"/>
    <n v="424"/>
    <n v="242.52"/>
    <n v="102828.48"/>
    <x v="2"/>
  </r>
  <r>
    <s v="TXN0675"/>
    <d v="2026-03-30T00:00:00"/>
    <s v="P019"/>
    <x v="4"/>
    <x v="3"/>
    <s v="LogiEquip"/>
    <n v="394"/>
    <n v="32"/>
    <x v="201"/>
    <n v="400"/>
    <n v="223.12"/>
    <n v="89248"/>
    <x v="1"/>
  </r>
  <r>
    <s v="TXN0676"/>
    <d v="2026-06-14T00:00:00"/>
    <s v="P020"/>
    <x v="14"/>
    <x v="2"/>
    <s v="PackRight Trading"/>
    <n v="278"/>
    <n v="98"/>
    <x v="147"/>
    <n v="269"/>
    <n v="5.17"/>
    <n v="1390.73"/>
    <x v="1"/>
  </r>
  <r>
    <s v="TXN0677"/>
    <d v="2026-05-21T00:00:00"/>
    <s v="P008"/>
    <x v="7"/>
    <x v="2"/>
    <s v="PackRight Trading"/>
    <n v="223"/>
    <n v="87"/>
    <x v="194"/>
    <n v="235"/>
    <n v="26.88"/>
    <n v="6316.8"/>
    <x v="2"/>
  </r>
  <r>
    <s v="TXN0678"/>
    <d v="2026-07-31T00:00:00"/>
    <s v="P005"/>
    <x v="13"/>
    <x v="0"/>
    <s v="Mega Electric"/>
    <n v="328"/>
    <n v="179"/>
    <x v="175"/>
    <n v="316"/>
    <n v="207.41"/>
    <n v="65541.56"/>
    <x v="1"/>
  </r>
  <r>
    <s v="TXN0679"/>
    <d v="2026-06-10T00:00:00"/>
    <s v="P018"/>
    <x v="6"/>
    <x v="4"/>
    <s v="SafePro Supplies"/>
    <n v="384"/>
    <n v="141"/>
    <x v="153"/>
    <n v="364"/>
    <n v="158.71"/>
    <n v="57770.44"/>
    <x v="2"/>
  </r>
  <r>
    <s v="TXN0680"/>
    <d v="2026-05-29T00:00:00"/>
    <s v="P020"/>
    <x v="14"/>
    <x v="2"/>
    <s v="PackRight Trading"/>
    <n v="371"/>
    <n v="88"/>
    <x v="57"/>
    <n v="287"/>
    <n v="4.5199999999999996"/>
    <n v="1297.24"/>
    <x v="1"/>
  </r>
  <r>
    <s v="TXN0681"/>
    <d v="2026-09-15T00:00:00"/>
    <s v="P006"/>
    <x v="0"/>
    <x v="0"/>
    <s v="Mega Electric"/>
    <n v="297"/>
    <n v="177"/>
    <x v="91"/>
    <n v="311"/>
    <n v="185.03"/>
    <n v="57544.33"/>
    <x v="2"/>
  </r>
  <r>
    <s v="TXN0682"/>
    <d v="2026-09-03T00:00:00"/>
    <s v="P012"/>
    <x v="5"/>
    <x v="4"/>
    <s v="SafePro Supplies"/>
    <n v="318"/>
    <n v="146"/>
    <x v="49"/>
    <n v="294"/>
    <n v="147.79"/>
    <n v="43450.26"/>
    <x v="1"/>
  </r>
  <r>
    <s v="TXN0683"/>
    <d v="2026-05-27T00:00:00"/>
    <s v="P018"/>
    <x v="6"/>
    <x v="4"/>
    <s v="SafePro Supplies"/>
    <n v="469"/>
    <n v="108"/>
    <x v="27"/>
    <n v="371"/>
    <n v="153.27000000000001"/>
    <n v="56863.17"/>
    <x v="2"/>
  </r>
  <r>
    <s v="TXN0684"/>
    <d v="2026-07-15T00:00:00"/>
    <s v="P001"/>
    <x v="17"/>
    <x v="1"/>
    <s v="Maju Industrial"/>
    <n v="94"/>
    <n v="13"/>
    <x v="149"/>
    <n v="22"/>
    <n v="167.34"/>
    <n v="3681.48"/>
    <x v="0"/>
  </r>
  <r>
    <s v="TXN0685"/>
    <d v="2026-05-27T00:00:00"/>
    <s v="P006"/>
    <x v="0"/>
    <x v="0"/>
    <s v="Mega Electric"/>
    <n v="369"/>
    <n v="64"/>
    <x v="60"/>
    <n v="396"/>
    <n v="200.79"/>
    <n v="79512.84"/>
    <x v="1"/>
  </r>
  <r>
    <s v="TXN0686"/>
    <d v="2026-04-15T00:00:00"/>
    <s v="P010"/>
    <x v="12"/>
    <x v="1"/>
    <s v="TechParts Malaysia"/>
    <n v="405"/>
    <n v="138"/>
    <x v="124"/>
    <n v="535"/>
    <n v="11"/>
    <n v="5885"/>
    <x v="0"/>
  </r>
  <r>
    <s v="TXN0687"/>
    <d v="2026-04-25T00:00:00"/>
    <s v="P004"/>
    <x v="1"/>
    <x v="1"/>
    <s v="Maju Industrial"/>
    <n v="400"/>
    <n v="165"/>
    <x v="166"/>
    <n v="422"/>
    <n v="63.68"/>
    <n v="26872.959999999999"/>
    <x v="1"/>
  </r>
  <r>
    <s v="TXN0688"/>
    <d v="2026-01-25T00:00:00"/>
    <s v="P010"/>
    <x v="12"/>
    <x v="1"/>
    <s v="TechParts Malaysia"/>
    <n v="494"/>
    <n v="97"/>
    <x v="34"/>
    <n v="492"/>
    <n v="11.1"/>
    <n v="5461.2"/>
    <x v="1"/>
  </r>
  <r>
    <s v="TXN0689"/>
    <d v="2026-01-28T00:00:00"/>
    <s v="P011"/>
    <x v="11"/>
    <x v="0"/>
    <s v="TechParts Malaysia"/>
    <n v="26"/>
    <n v="64"/>
    <x v="112"/>
    <n v="65"/>
    <n v="64.790000000000006"/>
    <n v="4211.3500000000004"/>
    <x v="0"/>
  </r>
  <r>
    <s v="TXN0690"/>
    <d v="2026-07-08T00:00:00"/>
    <s v="P008"/>
    <x v="7"/>
    <x v="2"/>
    <s v="PackRight Trading"/>
    <n v="406"/>
    <n v="150"/>
    <x v="97"/>
    <n v="417"/>
    <n v="28.12"/>
    <n v="11726.04"/>
    <x v="2"/>
  </r>
  <r>
    <s v="TXN0691"/>
    <d v="2026-05-31T00:00:00"/>
    <s v="P007"/>
    <x v="16"/>
    <x v="4"/>
    <s v="SafePro Supplies"/>
    <n v="249"/>
    <n v="45"/>
    <x v="14"/>
    <n v="120"/>
    <n v="233.1"/>
    <n v="27972"/>
    <x v="2"/>
  </r>
  <r>
    <s v="TXN0692"/>
    <d v="2026-03-03T00:00:00"/>
    <s v="P017"/>
    <x v="9"/>
    <x v="0"/>
    <s v="Mega Electric"/>
    <n v="213"/>
    <n v="10"/>
    <x v="71"/>
    <n v="114"/>
    <n v="61.8"/>
    <n v="7045.2"/>
    <x v="0"/>
  </r>
  <r>
    <s v="TXN0693"/>
    <d v="2026-03-24T00:00:00"/>
    <s v="P005"/>
    <x v="13"/>
    <x v="0"/>
    <s v="Mega Electric"/>
    <n v="319"/>
    <n v="65"/>
    <x v="24"/>
    <n v="383"/>
    <n v="201.39"/>
    <n v="77132.37"/>
    <x v="1"/>
  </r>
  <r>
    <s v="TXN0694"/>
    <d v="2026-01-21T00:00:00"/>
    <s v="P005"/>
    <x v="13"/>
    <x v="0"/>
    <s v="Mega Electric"/>
    <n v="98"/>
    <n v="82"/>
    <x v="13"/>
    <n v="28"/>
    <n v="192.13"/>
    <n v="5379.64"/>
    <x v="1"/>
  </r>
  <r>
    <s v="TXN0695"/>
    <d v="2026-06-04T00:00:00"/>
    <s v="P020"/>
    <x v="14"/>
    <x v="2"/>
    <s v="PackRight Trading"/>
    <n v="271"/>
    <n v="146"/>
    <x v="20"/>
    <n v="277"/>
    <n v="4.6900000000000004"/>
    <n v="1299.1300000000001"/>
    <x v="1"/>
  </r>
  <r>
    <s v="TXN0696"/>
    <d v="2026-09-27T00:00:00"/>
    <s v="P011"/>
    <x v="11"/>
    <x v="0"/>
    <s v="TechParts Malaysia"/>
    <n v="132"/>
    <n v="47"/>
    <x v="206"/>
    <n v="46"/>
    <n v="59.17"/>
    <n v="2721.82"/>
    <x v="1"/>
  </r>
  <r>
    <s v="TXN0697"/>
    <d v="2026-08-01T00:00:00"/>
    <s v="P006"/>
    <x v="0"/>
    <x v="0"/>
    <s v="Mega Electric"/>
    <n v="298"/>
    <n v="137"/>
    <x v="86"/>
    <n v="332"/>
    <n v="178.01"/>
    <n v="59099.32"/>
    <x v="2"/>
  </r>
  <r>
    <s v="TXN0698"/>
    <d v="2026-06-19T00:00:00"/>
    <s v="P007"/>
    <x v="16"/>
    <x v="4"/>
    <s v="SafePro Supplies"/>
    <n v="189"/>
    <n v="92"/>
    <x v="194"/>
    <n v="206"/>
    <n v="238.87"/>
    <n v="49207.22"/>
    <x v="1"/>
  </r>
  <r>
    <s v="TXN0699"/>
    <d v="2026-09-01T00:00:00"/>
    <s v="P017"/>
    <x v="9"/>
    <x v="0"/>
    <s v="Mega Electric"/>
    <n v="307"/>
    <n v="166"/>
    <x v="41"/>
    <n v="471"/>
    <n v="60.11"/>
    <n v="28311.81"/>
    <x v="0"/>
  </r>
  <r>
    <s v="TXN0700"/>
    <d v="2026-05-04T00:00:00"/>
    <s v="P015"/>
    <x v="8"/>
    <x v="2"/>
    <s v="Johor Packaging"/>
    <n v="483"/>
    <n v="164"/>
    <x v="213"/>
    <n v="490"/>
    <n v="195.28"/>
    <n v="95687.2"/>
    <x v="2"/>
  </r>
  <r>
    <s v="TXN0701"/>
    <d v="2026-06-14T00:00:00"/>
    <s v="P002"/>
    <x v="15"/>
    <x v="4"/>
    <s v="SafePro Supplies"/>
    <n v="215"/>
    <n v="29"/>
    <x v="109"/>
    <n v="146"/>
    <n v="9.5399999999999991"/>
    <n v="1392.84"/>
    <x v="1"/>
  </r>
  <r>
    <s v="TXN0702"/>
    <d v="2026-01-13T00:00:00"/>
    <s v="P010"/>
    <x v="12"/>
    <x v="1"/>
    <s v="TechParts Malaysia"/>
    <n v="486"/>
    <n v="132"/>
    <x v="100"/>
    <n v="408"/>
    <n v="11.74"/>
    <n v="4789.92"/>
    <x v="1"/>
  </r>
  <r>
    <s v="TXN0703"/>
    <d v="2026-08-17T00:00:00"/>
    <s v="P017"/>
    <x v="9"/>
    <x v="0"/>
    <s v="Mega Electric"/>
    <n v="269"/>
    <n v="11"/>
    <x v="194"/>
    <n v="205"/>
    <n v="68.14"/>
    <n v="13968.7"/>
    <x v="2"/>
  </r>
  <r>
    <s v="TXN0704"/>
    <d v="2026-09-21T00:00:00"/>
    <s v="P011"/>
    <x v="11"/>
    <x v="0"/>
    <s v="TechParts Malaysia"/>
    <n v="62"/>
    <n v="24"/>
    <x v="46"/>
    <n v="65"/>
    <n v="68.36"/>
    <n v="4443.3999999999996"/>
    <x v="1"/>
  </r>
  <r>
    <s v="TXN0705"/>
    <d v="2026-01-04T00:00:00"/>
    <s v="P018"/>
    <x v="6"/>
    <x v="4"/>
    <s v="SafePro Supplies"/>
    <n v="340"/>
    <n v="16"/>
    <x v="6"/>
    <n v="303"/>
    <n v="170.76"/>
    <n v="51740.28"/>
    <x v="2"/>
  </r>
  <r>
    <s v="TXN0706"/>
    <d v="2026-02-23T00:00:00"/>
    <s v="P014"/>
    <x v="10"/>
    <x v="3"/>
    <s v="LogiEquip"/>
    <n v="125"/>
    <n v="137"/>
    <x v="121"/>
    <n v="50"/>
    <n v="59.96"/>
    <n v="2998"/>
    <x v="1"/>
  </r>
  <r>
    <s v="TXN0707"/>
    <d v="2026-02-06T00:00:00"/>
    <s v="P014"/>
    <x v="10"/>
    <x v="3"/>
    <s v="LogiEquip"/>
    <n v="402"/>
    <n v="175"/>
    <x v="0"/>
    <n v="538"/>
    <n v="53.65"/>
    <n v="28863.7"/>
    <x v="1"/>
  </r>
  <r>
    <s v="TXN0708"/>
    <d v="2026-01-20T00:00:00"/>
    <s v="P011"/>
    <x v="11"/>
    <x v="0"/>
    <s v="TechParts Malaysia"/>
    <n v="64"/>
    <n v="18"/>
    <x v="70"/>
    <n v="76"/>
    <n v="60.29"/>
    <n v="4582.04"/>
    <x v="0"/>
  </r>
  <r>
    <s v="TXN0709"/>
    <d v="2026-02-06T00:00:00"/>
    <s v="P018"/>
    <x v="6"/>
    <x v="4"/>
    <s v="SafePro Supplies"/>
    <n v="314"/>
    <n v="58"/>
    <x v="207"/>
    <n v="306"/>
    <n v="163.77000000000001"/>
    <n v="50113.62"/>
    <x v="0"/>
  </r>
  <r>
    <s v="TXN0710"/>
    <d v="2026-08-10T00:00:00"/>
    <s v="P013"/>
    <x v="19"/>
    <x v="3"/>
    <s v="LogiEquip"/>
    <n v="181"/>
    <n v="4"/>
    <x v="34"/>
    <n v="86"/>
    <n v="10.64"/>
    <n v="915.04"/>
    <x v="1"/>
  </r>
  <r>
    <s v="TXN0711"/>
    <d v="2026-02-02T00:00:00"/>
    <s v="P001"/>
    <x v="17"/>
    <x v="1"/>
    <s v="Maju Industrial"/>
    <n v="407"/>
    <n v="149"/>
    <x v="4"/>
    <n v="545"/>
    <n v="185.91"/>
    <n v="101320.95"/>
    <x v="2"/>
  </r>
  <r>
    <s v="TXN0712"/>
    <d v="2026-09-15T00:00:00"/>
    <s v="P012"/>
    <x v="5"/>
    <x v="4"/>
    <s v="SafePro Supplies"/>
    <n v="74"/>
    <n v="74"/>
    <x v="55"/>
    <n v="71"/>
    <n v="145.41999999999999"/>
    <n v="10324.82"/>
    <x v="0"/>
  </r>
  <r>
    <s v="TXN0713"/>
    <d v="2026-07-15T00:00:00"/>
    <s v="P015"/>
    <x v="8"/>
    <x v="2"/>
    <s v="Johor Packaging"/>
    <n v="222"/>
    <n v="169"/>
    <x v="116"/>
    <n v="384"/>
    <n v="182.26"/>
    <n v="69987.839999999997"/>
    <x v="1"/>
  </r>
  <r>
    <s v="TXN0714"/>
    <d v="2026-03-11T00:00:00"/>
    <s v="P008"/>
    <x v="7"/>
    <x v="2"/>
    <s v="PackRight Trading"/>
    <n v="402"/>
    <n v="100"/>
    <x v="188"/>
    <n v="299"/>
    <n v="28.37"/>
    <n v="8482.6299999999992"/>
    <x v="1"/>
  </r>
  <r>
    <s v="TXN0715"/>
    <d v="2026-03-15T00:00:00"/>
    <s v="P010"/>
    <x v="12"/>
    <x v="1"/>
    <s v="TechParts Malaysia"/>
    <n v="172"/>
    <n v="173"/>
    <x v="188"/>
    <n v="142"/>
    <n v="11.91"/>
    <n v="1691.22"/>
    <x v="1"/>
  </r>
  <r>
    <s v="TXN0716"/>
    <d v="2026-01-06T00:00:00"/>
    <s v="P012"/>
    <x v="5"/>
    <x v="4"/>
    <s v="SafePro Supplies"/>
    <n v="303"/>
    <n v="142"/>
    <x v="117"/>
    <n v="409"/>
    <n v="134.36000000000001"/>
    <n v="54953.24"/>
    <x v="2"/>
  </r>
  <r>
    <s v="TXN0717"/>
    <d v="2026-07-21T00:00:00"/>
    <s v="P019"/>
    <x v="4"/>
    <x v="3"/>
    <s v="LogiEquip"/>
    <n v="295"/>
    <n v="140"/>
    <x v="46"/>
    <n v="414"/>
    <n v="220.11"/>
    <n v="91125.54"/>
    <x v="1"/>
  </r>
  <r>
    <s v="TXN0718"/>
    <d v="2026-04-19T00:00:00"/>
    <s v="P012"/>
    <x v="5"/>
    <x v="4"/>
    <s v="SafePro Supplies"/>
    <n v="231"/>
    <n v="165"/>
    <x v="38"/>
    <n v="179"/>
    <n v="143.27000000000001"/>
    <n v="25645.33"/>
    <x v="2"/>
  </r>
  <r>
    <s v="TXN0719"/>
    <d v="2026-04-24T00:00:00"/>
    <s v="P006"/>
    <x v="0"/>
    <x v="0"/>
    <s v="Mega Electric"/>
    <n v="335"/>
    <n v="64"/>
    <x v="162"/>
    <n v="350"/>
    <n v="178.7"/>
    <n v="62545"/>
    <x v="1"/>
  </r>
  <r>
    <s v="TXN0720"/>
    <d v="2026-01-28T00:00:00"/>
    <s v="P019"/>
    <x v="4"/>
    <x v="3"/>
    <s v="LogiEquip"/>
    <n v="455"/>
    <n v="140"/>
    <x v="104"/>
    <n v="477"/>
    <n v="232.47"/>
    <n v="110888.19"/>
    <x v="2"/>
  </r>
  <r>
    <s v="TXN0721"/>
    <d v="2026-02-04T00:00:00"/>
    <s v="P010"/>
    <x v="12"/>
    <x v="1"/>
    <s v="TechParts Malaysia"/>
    <n v="148"/>
    <n v="25"/>
    <x v="118"/>
    <n v="123"/>
    <n v="11.66"/>
    <n v="1434.18"/>
    <x v="0"/>
  </r>
  <r>
    <s v="TXN0722"/>
    <d v="2026-07-02T00:00:00"/>
    <s v="P011"/>
    <x v="11"/>
    <x v="0"/>
    <s v="TechParts Malaysia"/>
    <n v="85"/>
    <n v="171"/>
    <x v="208"/>
    <n v="89"/>
    <n v="60.86"/>
    <n v="5416.54"/>
    <x v="0"/>
  </r>
  <r>
    <s v="TXN0723"/>
    <d v="2026-02-05T00:00:00"/>
    <s v="P020"/>
    <x v="14"/>
    <x v="2"/>
    <s v="PackRight Trading"/>
    <n v="480"/>
    <n v="49"/>
    <x v="133"/>
    <n v="448"/>
    <n v="4.79"/>
    <n v="2145.92"/>
    <x v="0"/>
  </r>
  <r>
    <s v="TXN0724"/>
    <d v="2026-06-06T00:00:00"/>
    <s v="P020"/>
    <x v="14"/>
    <x v="2"/>
    <s v="PackRight Trading"/>
    <n v="375"/>
    <n v="149"/>
    <x v="0"/>
    <n v="485"/>
    <n v="4.8499999999999996"/>
    <n v="2352.25"/>
    <x v="0"/>
  </r>
  <r>
    <s v="TXN0725"/>
    <d v="2026-08-08T00:00:00"/>
    <s v="P011"/>
    <x v="11"/>
    <x v="0"/>
    <s v="TechParts Malaysia"/>
    <n v="106"/>
    <n v="1"/>
    <x v="15"/>
    <n v="67"/>
    <n v="60.98"/>
    <n v="4085.66"/>
    <x v="2"/>
  </r>
  <r>
    <s v="TXN0726"/>
    <d v="2026-05-22T00:00:00"/>
    <s v="P014"/>
    <x v="10"/>
    <x v="3"/>
    <s v="LogiEquip"/>
    <n v="450"/>
    <n v="92"/>
    <x v="209"/>
    <n v="508"/>
    <n v="59.75"/>
    <n v="30353"/>
    <x v="0"/>
  </r>
  <r>
    <s v="TXN0727"/>
    <d v="2026-08-25T00:00:00"/>
    <s v="P016"/>
    <x v="18"/>
    <x v="1"/>
    <s v="Maju Industrial"/>
    <n v="248"/>
    <n v="91"/>
    <x v="120"/>
    <n v="141"/>
    <n v="149.16"/>
    <n v="21031.56"/>
    <x v="1"/>
  </r>
  <r>
    <s v="TXN0728"/>
    <d v="2026-03-31T00:00:00"/>
    <s v="P004"/>
    <x v="1"/>
    <x v="1"/>
    <s v="Maju Industrial"/>
    <n v="350"/>
    <n v="155"/>
    <x v="66"/>
    <n v="485"/>
    <n v="68.37"/>
    <n v="33159.449999999997"/>
    <x v="2"/>
  </r>
  <r>
    <s v="TXN0729"/>
    <d v="2026-04-11T00:00:00"/>
    <s v="P018"/>
    <x v="6"/>
    <x v="4"/>
    <s v="SafePro Supplies"/>
    <n v="154"/>
    <n v="160"/>
    <x v="65"/>
    <n v="295"/>
    <n v="172.28"/>
    <n v="50822.6"/>
    <x v="2"/>
  </r>
  <r>
    <s v="TXN0730"/>
    <d v="2026-01-16T00:00:00"/>
    <s v="P017"/>
    <x v="9"/>
    <x v="0"/>
    <s v="Mega Electric"/>
    <n v="436"/>
    <n v="148"/>
    <x v="78"/>
    <n v="436"/>
    <n v="63.09"/>
    <n v="27507.24"/>
    <x v="1"/>
  </r>
  <r>
    <s v="TXN0731"/>
    <d v="2026-01-19T00:00:00"/>
    <s v="P007"/>
    <x v="16"/>
    <x v="4"/>
    <s v="SafePro Supplies"/>
    <n v="302"/>
    <n v="66"/>
    <x v="97"/>
    <n v="229"/>
    <n v="265.89999999999998"/>
    <n v="60891.1"/>
    <x v="1"/>
  </r>
  <r>
    <s v="TXN0732"/>
    <d v="2026-03-18T00:00:00"/>
    <s v="P016"/>
    <x v="18"/>
    <x v="1"/>
    <s v="Maju Industrial"/>
    <n v="207"/>
    <n v="100"/>
    <x v="58"/>
    <n v="250"/>
    <n v="163.59"/>
    <n v="40897.5"/>
    <x v="1"/>
  </r>
  <r>
    <s v="TXN0733"/>
    <d v="2026-03-10T00:00:00"/>
    <s v="P010"/>
    <x v="12"/>
    <x v="1"/>
    <s v="TechParts Malaysia"/>
    <n v="257"/>
    <n v="128"/>
    <x v="196"/>
    <n v="255"/>
    <n v="10.52"/>
    <n v="2682.6"/>
    <x v="0"/>
  </r>
  <r>
    <s v="TXN0734"/>
    <d v="2026-01-06T00:00:00"/>
    <s v="P017"/>
    <x v="9"/>
    <x v="0"/>
    <s v="Mega Electric"/>
    <n v="359"/>
    <n v="61"/>
    <x v="38"/>
    <n v="203"/>
    <n v="68.819999999999993"/>
    <n v="13970.46"/>
    <x v="1"/>
  </r>
  <r>
    <s v="TXN0735"/>
    <d v="2026-09-21T00:00:00"/>
    <s v="P006"/>
    <x v="0"/>
    <x v="0"/>
    <s v="Mega Electric"/>
    <n v="91"/>
    <n v="114"/>
    <x v="15"/>
    <n v="165"/>
    <n v="180.67"/>
    <n v="29810.55"/>
    <x v="1"/>
  </r>
  <r>
    <s v="TXN0736"/>
    <d v="2026-09-05T00:00:00"/>
    <s v="P005"/>
    <x v="13"/>
    <x v="0"/>
    <s v="Mega Electric"/>
    <n v="500"/>
    <n v="91"/>
    <x v="48"/>
    <n v="581"/>
    <n v="197.69"/>
    <n v="114857.89"/>
    <x v="0"/>
  </r>
  <r>
    <s v="TXN0737"/>
    <d v="2026-02-02T00:00:00"/>
    <s v="P008"/>
    <x v="7"/>
    <x v="2"/>
    <s v="PackRight Trading"/>
    <n v="155"/>
    <n v="94"/>
    <x v="96"/>
    <n v="190"/>
    <n v="25.1"/>
    <n v="4769"/>
    <x v="2"/>
  </r>
  <r>
    <s v="TXN0738"/>
    <d v="2026-07-04T00:00:00"/>
    <s v="P017"/>
    <x v="9"/>
    <x v="0"/>
    <s v="Mega Electric"/>
    <n v="218"/>
    <n v="120"/>
    <x v="88"/>
    <n v="222"/>
    <n v="67.97"/>
    <n v="15089.34"/>
    <x v="2"/>
  </r>
  <r>
    <s v="TXN0739"/>
    <d v="2026-02-22T00:00:00"/>
    <s v="P011"/>
    <x v="11"/>
    <x v="0"/>
    <s v="TechParts Malaysia"/>
    <n v="380"/>
    <n v="133"/>
    <x v="140"/>
    <n v="351"/>
    <n v="66.92"/>
    <n v="23488.92"/>
    <x v="1"/>
  </r>
  <r>
    <s v="TXN0740"/>
    <d v="2026-03-31T00:00:00"/>
    <s v="P009"/>
    <x v="2"/>
    <x v="2"/>
    <s v="Johor Packaging"/>
    <n v="212"/>
    <n v="167"/>
    <x v="177"/>
    <n v="283"/>
    <n v="117.29"/>
    <n v="33193.07"/>
    <x v="1"/>
  </r>
  <r>
    <s v="TXN0741"/>
    <d v="2026-09-22T00:00:00"/>
    <s v="P003"/>
    <x v="3"/>
    <x v="2"/>
    <s v="PackRight Trading"/>
    <n v="148"/>
    <n v="96"/>
    <x v="58"/>
    <n v="187"/>
    <n v="79.39"/>
    <n v="14845.93"/>
    <x v="0"/>
  </r>
  <r>
    <s v="TXN0742"/>
    <d v="2026-09-07T00:00:00"/>
    <s v="P012"/>
    <x v="5"/>
    <x v="4"/>
    <s v="SafePro Supplies"/>
    <n v="425"/>
    <n v="123"/>
    <x v="99"/>
    <n v="394"/>
    <n v="131.69999999999999"/>
    <n v="51889.8"/>
    <x v="2"/>
  </r>
  <r>
    <s v="TXN0743"/>
    <d v="2026-03-26T00:00:00"/>
    <s v="P015"/>
    <x v="8"/>
    <x v="2"/>
    <s v="Johor Packaging"/>
    <n v="137"/>
    <n v="19"/>
    <x v="154"/>
    <n v="25"/>
    <n v="187.22"/>
    <n v="4680.5"/>
    <x v="2"/>
  </r>
  <r>
    <s v="TXN0744"/>
    <d v="2026-04-06T00:00:00"/>
    <s v="P005"/>
    <x v="13"/>
    <x v="0"/>
    <s v="Mega Electric"/>
    <n v="100"/>
    <n v="92"/>
    <x v="99"/>
    <n v="38"/>
    <n v="214.2"/>
    <n v="8139.6"/>
    <x v="2"/>
  </r>
  <r>
    <s v="TXN0745"/>
    <d v="2026-08-01T00:00:00"/>
    <s v="P008"/>
    <x v="7"/>
    <x v="2"/>
    <s v="PackRight Trading"/>
    <n v="435"/>
    <n v="84"/>
    <x v="202"/>
    <n v="335"/>
    <n v="25.41"/>
    <n v="8512.35"/>
    <x v="1"/>
  </r>
  <r>
    <s v="TXN0746"/>
    <d v="2026-09-03T00:00:00"/>
    <s v="P016"/>
    <x v="18"/>
    <x v="1"/>
    <s v="Maju Industrial"/>
    <n v="127"/>
    <n v="151"/>
    <x v="7"/>
    <n v="237"/>
    <n v="157.58000000000001"/>
    <n v="37346.46"/>
    <x v="0"/>
  </r>
  <r>
    <s v="TXN0747"/>
    <d v="2026-05-05T00:00:00"/>
    <s v="P001"/>
    <x v="17"/>
    <x v="1"/>
    <s v="Maju Industrial"/>
    <n v="42"/>
    <n v="32"/>
    <x v="106"/>
    <n v="1"/>
    <n v="182.78"/>
    <n v="182.78"/>
    <x v="2"/>
  </r>
  <r>
    <s v="TXN0748"/>
    <d v="2026-01-21T00:00:00"/>
    <s v="P017"/>
    <x v="9"/>
    <x v="0"/>
    <s v="Mega Electric"/>
    <n v="476"/>
    <n v="146"/>
    <x v="60"/>
    <n v="585"/>
    <n v="59.51"/>
    <n v="34813.35"/>
    <x v="0"/>
  </r>
  <r>
    <s v="TXN0749"/>
    <d v="2026-09-22T00:00:00"/>
    <s v="P006"/>
    <x v="0"/>
    <x v="0"/>
    <s v="Mega Electric"/>
    <n v="227"/>
    <n v="153"/>
    <x v="76"/>
    <n v="236"/>
    <n v="194.64"/>
    <n v="45935.040000000001"/>
    <x v="1"/>
  </r>
  <r>
    <s v="TXN0750"/>
    <d v="2026-02-13T00:00:00"/>
    <s v="P010"/>
    <x v="12"/>
    <x v="1"/>
    <s v="TechParts Malaysia"/>
    <n v="130"/>
    <n v="114"/>
    <x v="77"/>
    <n v="89"/>
    <n v="12.14"/>
    <n v="1080.46"/>
    <x v="0"/>
  </r>
  <r>
    <s v="TXN0751"/>
    <d v="2026-04-23T00:00:00"/>
    <s v="P006"/>
    <x v="0"/>
    <x v="0"/>
    <s v="Mega Electric"/>
    <n v="445"/>
    <n v="105"/>
    <x v="17"/>
    <n v="397"/>
    <n v="179.56"/>
    <n v="71285.320000000007"/>
    <x v="1"/>
  </r>
  <r>
    <s v="TXN0752"/>
    <d v="2026-09-19T00:00:00"/>
    <s v="P006"/>
    <x v="0"/>
    <x v="0"/>
    <s v="Mega Electric"/>
    <n v="155"/>
    <n v="42"/>
    <x v="179"/>
    <n v="12"/>
    <n v="196.1"/>
    <n v="2353.1999999999998"/>
    <x v="0"/>
  </r>
  <r>
    <s v="TXN0753"/>
    <d v="2026-02-05T00:00:00"/>
    <s v="P020"/>
    <x v="14"/>
    <x v="2"/>
    <s v="PackRight Trading"/>
    <n v="137"/>
    <n v="96"/>
    <x v="109"/>
    <n v="135"/>
    <n v="4.5199999999999996"/>
    <n v="610.20000000000005"/>
    <x v="2"/>
  </r>
  <r>
    <s v="TXN0754"/>
    <d v="2026-09-25T00:00:00"/>
    <s v="P007"/>
    <x v="16"/>
    <x v="4"/>
    <s v="SafePro Supplies"/>
    <n v="460"/>
    <n v="129"/>
    <x v="54"/>
    <n v="414"/>
    <n v="246.92"/>
    <n v="102224.88"/>
    <x v="2"/>
  </r>
  <r>
    <s v="TXN0755"/>
    <d v="2026-02-19T00:00:00"/>
    <s v="P020"/>
    <x v="14"/>
    <x v="2"/>
    <s v="PackRight Trading"/>
    <n v="110"/>
    <n v="121"/>
    <x v="213"/>
    <n v="74"/>
    <n v="4.88"/>
    <n v="361.12"/>
    <x v="1"/>
  </r>
  <r>
    <s v="TXN0756"/>
    <d v="2026-03-02T00:00:00"/>
    <s v="P017"/>
    <x v="9"/>
    <x v="0"/>
    <s v="Mega Electric"/>
    <n v="67"/>
    <n v="123"/>
    <x v="198"/>
    <n v="22"/>
    <n v="60.27"/>
    <n v="1325.94"/>
    <x v="1"/>
  </r>
  <r>
    <s v="TXN0757"/>
    <d v="2026-01-01T00:00:00"/>
    <s v="P018"/>
    <x v="6"/>
    <x v="4"/>
    <s v="SafePro Supplies"/>
    <n v="479"/>
    <n v="173"/>
    <x v="74"/>
    <n v="486"/>
    <n v="164.4"/>
    <n v="79898.399999999994"/>
    <x v="0"/>
  </r>
  <r>
    <s v="TXN0758"/>
    <d v="2026-01-23T00:00:00"/>
    <s v="P012"/>
    <x v="5"/>
    <x v="4"/>
    <s v="SafePro Supplies"/>
    <n v="377"/>
    <n v="135"/>
    <x v="71"/>
    <n v="403"/>
    <n v="136.79"/>
    <n v="55126.37"/>
    <x v="0"/>
  </r>
  <r>
    <s v="TXN0759"/>
    <d v="2026-06-29T00:00:00"/>
    <s v="P013"/>
    <x v="19"/>
    <x v="3"/>
    <s v="LogiEquip"/>
    <n v="321"/>
    <n v="178"/>
    <x v="53"/>
    <n v="352"/>
    <n v="9.68"/>
    <n v="3407.36"/>
    <x v="2"/>
  </r>
  <r>
    <s v="TXN0760"/>
    <d v="2026-09-02T00:00:00"/>
    <s v="P009"/>
    <x v="2"/>
    <x v="2"/>
    <s v="Johor Packaging"/>
    <n v="412"/>
    <n v="59"/>
    <x v="102"/>
    <n v="252"/>
    <n v="111.89"/>
    <n v="28196.28"/>
    <x v="1"/>
  </r>
  <r>
    <s v="TXN0761"/>
    <d v="2026-07-29T00:00:00"/>
    <s v="P018"/>
    <x v="6"/>
    <x v="4"/>
    <s v="SafePro Supplies"/>
    <n v="151"/>
    <n v="48"/>
    <x v="24"/>
    <n v="198"/>
    <n v="171.79"/>
    <n v="34014.42"/>
    <x v="2"/>
  </r>
  <r>
    <s v="TXN0762"/>
    <d v="2026-09-25T00:00:00"/>
    <s v="P019"/>
    <x v="4"/>
    <x v="3"/>
    <s v="LogiEquip"/>
    <n v="80"/>
    <n v="133"/>
    <x v="24"/>
    <n v="212"/>
    <n v="222.67"/>
    <n v="47206.04"/>
    <x v="2"/>
  </r>
  <r>
    <s v="TXN0763"/>
    <d v="2026-07-29T00:00:00"/>
    <s v="P011"/>
    <x v="11"/>
    <x v="0"/>
    <s v="TechParts Malaysia"/>
    <n v="205"/>
    <n v="27"/>
    <x v="0"/>
    <n v="193"/>
    <n v="62.81"/>
    <n v="12122.33"/>
    <x v="1"/>
  </r>
  <r>
    <s v="TXN0764"/>
    <d v="2026-05-14T00:00:00"/>
    <s v="P009"/>
    <x v="2"/>
    <x v="2"/>
    <s v="Johor Packaging"/>
    <n v="457"/>
    <n v="137"/>
    <x v="145"/>
    <n v="486"/>
    <n v="121.11"/>
    <n v="58859.46"/>
    <x v="1"/>
  </r>
  <r>
    <s v="TXN0765"/>
    <d v="2026-07-23T00:00:00"/>
    <s v="P009"/>
    <x v="2"/>
    <x v="2"/>
    <s v="Johor Packaging"/>
    <n v="406"/>
    <n v="52"/>
    <x v="28"/>
    <n v="353"/>
    <n v="120.87"/>
    <n v="42667.11"/>
    <x v="1"/>
  </r>
  <r>
    <s v="TXN0766"/>
    <d v="2026-04-02T00:00:00"/>
    <s v="P016"/>
    <x v="18"/>
    <x v="1"/>
    <s v="Maju Industrial"/>
    <n v="209"/>
    <n v="143"/>
    <x v="144"/>
    <n v="210"/>
    <n v="153.55000000000001"/>
    <n v="32245.5"/>
    <x v="0"/>
  </r>
  <r>
    <s v="TXN0767"/>
    <d v="2026-06-26T00:00:00"/>
    <s v="P019"/>
    <x v="4"/>
    <x v="3"/>
    <s v="LogiEquip"/>
    <n v="416"/>
    <n v="180"/>
    <x v="119"/>
    <n v="495"/>
    <n v="235.78"/>
    <n v="116711.1"/>
    <x v="1"/>
  </r>
  <r>
    <s v="TXN0768"/>
    <d v="2026-04-28T00:00:00"/>
    <s v="P004"/>
    <x v="1"/>
    <x v="1"/>
    <s v="Maju Industrial"/>
    <n v="248"/>
    <n v="179"/>
    <x v="7"/>
    <n v="386"/>
    <n v="60.68"/>
    <n v="23422.48"/>
    <x v="1"/>
  </r>
  <r>
    <s v="TXN0769"/>
    <d v="2026-06-23T00:00:00"/>
    <s v="P013"/>
    <x v="19"/>
    <x v="3"/>
    <s v="LogiEquip"/>
    <n v="430"/>
    <n v="140"/>
    <x v="213"/>
    <n v="413"/>
    <n v="10.68"/>
    <n v="4410.84"/>
    <x v="1"/>
  </r>
  <r>
    <s v="TXN0770"/>
    <d v="2026-03-24T00:00:00"/>
    <s v="P002"/>
    <x v="15"/>
    <x v="4"/>
    <s v="SafePro Supplies"/>
    <n v="219"/>
    <n v="162"/>
    <x v="24"/>
    <n v="380"/>
    <n v="10.41"/>
    <n v="3955.8"/>
    <x v="2"/>
  </r>
  <r>
    <s v="TXN0771"/>
    <d v="2026-08-11T00:00:00"/>
    <s v="P016"/>
    <x v="18"/>
    <x v="1"/>
    <s v="Maju Industrial"/>
    <n v="65"/>
    <n v="16"/>
    <x v="127"/>
    <n v="48"/>
    <n v="147.1"/>
    <n v="7060.8"/>
    <x v="2"/>
  </r>
  <r>
    <s v="TXN0772"/>
    <d v="2026-01-20T00:00:00"/>
    <s v="P020"/>
    <x v="14"/>
    <x v="2"/>
    <s v="PackRight Trading"/>
    <n v="390"/>
    <n v="98"/>
    <x v="9"/>
    <n v="386"/>
    <n v="4.8899999999999997"/>
    <n v="1887.54"/>
    <x v="1"/>
  </r>
  <r>
    <s v="TXN0773"/>
    <d v="2026-01-30T00:00:00"/>
    <s v="P010"/>
    <x v="12"/>
    <x v="1"/>
    <s v="TechParts Malaysia"/>
    <n v="416"/>
    <n v="44"/>
    <x v="91"/>
    <n v="297"/>
    <n v="11.24"/>
    <n v="3338.28"/>
    <x v="2"/>
  </r>
  <r>
    <s v="TXN0774"/>
    <d v="2026-09-23T00:00:00"/>
    <s v="P007"/>
    <x v="16"/>
    <x v="4"/>
    <s v="SafePro Supplies"/>
    <n v="166"/>
    <n v="49"/>
    <x v="124"/>
    <n v="207"/>
    <n v="261.5"/>
    <n v="54130.5"/>
    <x v="1"/>
  </r>
  <r>
    <s v="TXN0775"/>
    <d v="2026-04-29T00:00:00"/>
    <s v="P017"/>
    <x v="9"/>
    <x v="0"/>
    <s v="Mega Electric"/>
    <n v="334"/>
    <n v="43"/>
    <x v="57"/>
    <n v="205"/>
    <n v="59.31"/>
    <n v="12158.55"/>
    <x v="2"/>
  </r>
  <r>
    <s v="TXN0776"/>
    <d v="2026-03-22T00:00:00"/>
    <s v="P001"/>
    <x v="17"/>
    <x v="1"/>
    <s v="Maju Industrial"/>
    <n v="64"/>
    <n v="70"/>
    <x v="9"/>
    <n v="32"/>
    <n v="175.89"/>
    <n v="5628.48"/>
    <x v="0"/>
  </r>
  <r>
    <s v="TXN0777"/>
    <d v="2026-04-13T00:00:00"/>
    <s v="P013"/>
    <x v="19"/>
    <x v="3"/>
    <s v="LogiEquip"/>
    <n v="285"/>
    <n v="3"/>
    <x v="214"/>
    <n v="100"/>
    <n v="10.69"/>
    <n v="1069"/>
    <x v="2"/>
  </r>
  <r>
    <s v="TXN0778"/>
    <d v="2026-05-26T00:00:00"/>
    <s v="P018"/>
    <x v="6"/>
    <x v="4"/>
    <s v="SafePro Supplies"/>
    <n v="391"/>
    <n v="143"/>
    <x v="40"/>
    <n v="385"/>
    <n v="162.19"/>
    <n v="62443.15"/>
    <x v="0"/>
  </r>
  <r>
    <s v="TXN0779"/>
    <d v="2026-04-10T00:00:00"/>
    <s v="P008"/>
    <x v="7"/>
    <x v="2"/>
    <s v="PackRight Trading"/>
    <n v="252"/>
    <n v="103"/>
    <x v="53"/>
    <n v="208"/>
    <n v="24.94"/>
    <n v="5187.5200000000004"/>
    <x v="2"/>
  </r>
  <r>
    <s v="TXN0780"/>
    <d v="2026-09-17T00:00:00"/>
    <s v="P014"/>
    <x v="10"/>
    <x v="3"/>
    <s v="LogiEquip"/>
    <n v="74"/>
    <n v="143"/>
    <x v="200"/>
    <n v="199"/>
    <n v="58.11"/>
    <n v="11563.89"/>
    <x v="0"/>
  </r>
  <r>
    <s v="TXN0781"/>
    <d v="2026-09-20T00:00:00"/>
    <s v="P004"/>
    <x v="1"/>
    <x v="1"/>
    <s v="Maju Industrial"/>
    <n v="151"/>
    <n v="137"/>
    <x v="19"/>
    <n v="80"/>
    <n v="67.87"/>
    <n v="5429.6"/>
    <x v="0"/>
  </r>
  <r>
    <s v="TXN0782"/>
    <d v="2026-07-13T00:00:00"/>
    <s v="P015"/>
    <x v="8"/>
    <x v="2"/>
    <s v="Johor Packaging"/>
    <n v="308"/>
    <n v="123"/>
    <x v="170"/>
    <n v="234"/>
    <n v="175.5"/>
    <n v="41067"/>
    <x v="0"/>
  </r>
  <r>
    <s v="TXN0783"/>
    <d v="2026-08-24T00:00:00"/>
    <s v="P015"/>
    <x v="8"/>
    <x v="2"/>
    <s v="Johor Packaging"/>
    <n v="479"/>
    <n v="150"/>
    <x v="190"/>
    <n v="409"/>
    <n v="169.18"/>
    <n v="69194.62"/>
    <x v="2"/>
  </r>
  <r>
    <s v="TXN0784"/>
    <d v="2026-02-04T00:00:00"/>
    <s v="P009"/>
    <x v="2"/>
    <x v="2"/>
    <s v="Johor Packaging"/>
    <n v="215"/>
    <n v="162"/>
    <x v="56"/>
    <n v="176"/>
    <n v="129.35"/>
    <n v="22765.599999999999"/>
    <x v="1"/>
  </r>
  <r>
    <s v="TXN0785"/>
    <d v="2026-06-11T00:00:00"/>
    <s v="P008"/>
    <x v="7"/>
    <x v="2"/>
    <s v="PackRight Trading"/>
    <n v="231"/>
    <n v="90"/>
    <x v="61"/>
    <n v="189"/>
    <n v="27.24"/>
    <n v="5148.3599999999997"/>
    <x v="1"/>
  </r>
  <r>
    <s v="TXN0786"/>
    <d v="2026-05-08T00:00:00"/>
    <s v="P009"/>
    <x v="2"/>
    <x v="2"/>
    <s v="Johor Packaging"/>
    <n v="167"/>
    <n v="23"/>
    <x v="9"/>
    <n v="88"/>
    <n v="123.2"/>
    <n v="10841.6"/>
    <x v="0"/>
  </r>
  <r>
    <s v="TXN0787"/>
    <d v="2026-04-02T00:00:00"/>
    <s v="P003"/>
    <x v="3"/>
    <x v="2"/>
    <s v="PackRight Trading"/>
    <n v="263"/>
    <n v="80"/>
    <x v="142"/>
    <n v="253"/>
    <n v="75.62"/>
    <n v="19131.86"/>
    <x v="1"/>
  </r>
  <r>
    <s v="TXN0788"/>
    <d v="2026-04-04T00:00:00"/>
    <s v="P009"/>
    <x v="2"/>
    <x v="2"/>
    <s v="Johor Packaging"/>
    <n v="402"/>
    <n v="174"/>
    <x v="111"/>
    <n v="528"/>
    <n v="119.85"/>
    <n v="63280.800000000003"/>
    <x v="2"/>
  </r>
  <r>
    <s v="TXN0789"/>
    <d v="2026-05-04T00:00:00"/>
    <s v="P008"/>
    <x v="7"/>
    <x v="2"/>
    <s v="PackRight Trading"/>
    <n v="466"/>
    <n v="67"/>
    <x v="67"/>
    <n v="481"/>
    <n v="25.91"/>
    <n v="12462.71"/>
    <x v="2"/>
  </r>
  <r>
    <s v="TXN0790"/>
    <d v="2026-07-02T00:00:00"/>
    <s v="P020"/>
    <x v="14"/>
    <x v="2"/>
    <s v="PackRight Trading"/>
    <n v="99"/>
    <n v="27"/>
    <x v="94"/>
    <n v="111"/>
    <n v="5.12"/>
    <n v="568.32000000000005"/>
    <x v="1"/>
  </r>
  <r>
    <s v="TXN0791"/>
    <d v="2026-01-04T00:00:00"/>
    <s v="P016"/>
    <x v="18"/>
    <x v="1"/>
    <s v="Maju Industrial"/>
    <n v="411"/>
    <n v="138"/>
    <x v="48"/>
    <n v="539"/>
    <n v="162.52000000000001"/>
    <n v="87598.28"/>
    <x v="0"/>
  </r>
  <r>
    <s v="TXN0792"/>
    <d v="2026-06-11T00:00:00"/>
    <s v="P020"/>
    <x v="14"/>
    <x v="2"/>
    <s v="PackRight Trading"/>
    <n v="272"/>
    <n v="147"/>
    <x v="64"/>
    <n v="349"/>
    <n v="4.79"/>
    <n v="1671.71"/>
    <x v="1"/>
  </r>
  <r>
    <s v="TXN0793"/>
    <d v="2026-07-23T00:00:00"/>
    <s v="P009"/>
    <x v="2"/>
    <x v="2"/>
    <s v="Johor Packaging"/>
    <n v="133"/>
    <n v="147"/>
    <x v="90"/>
    <n v="248"/>
    <n v="111.32"/>
    <n v="27607.360000000001"/>
    <x v="0"/>
  </r>
  <r>
    <s v="TXN0794"/>
    <d v="2026-01-17T00:00:00"/>
    <s v="P016"/>
    <x v="18"/>
    <x v="1"/>
    <s v="Maju Industrial"/>
    <n v="277"/>
    <n v="88"/>
    <x v="189"/>
    <n v="265"/>
    <n v="162.83000000000001"/>
    <n v="43149.95"/>
    <x v="2"/>
  </r>
  <r>
    <s v="TXN0795"/>
    <d v="2026-03-03T00:00:00"/>
    <s v="P015"/>
    <x v="8"/>
    <x v="2"/>
    <s v="Johor Packaging"/>
    <n v="377"/>
    <n v="132"/>
    <x v="212"/>
    <n v="392"/>
    <n v="177.62"/>
    <n v="69627.039999999994"/>
    <x v="2"/>
  </r>
  <r>
    <s v="TXN0796"/>
    <d v="2026-04-18T00:00:00"/>
    <s v="P001"/>
    <x v="17"/>
    <x v="1"/>
    <s v="Maju Industrial"/>
    <n v="214"/>
    <n v="148"/>
    <x v="112"/>
    <n v="337"/>
    <n v="175.09"/>
    <n v="59005.33"/>
    <x v="1"/>
  </r>
  <r>
    <s v="TXN0797"/>
    <d v="2026-04-06T00:00:00"/>
    <s v="P009"/>
    <x v="2"/>
    <x v="2"/>
    <s v="Johor Packaging"/>
    <n v="300"/>
    <n v="67"/>
    <x v="114"/>
    <n v="307"/>
    <n v="115.45"/>
    <n v="35443.15"/>
    <x v="1"/>
  </r>
  <r>
    <s v="TXN0798"/>
    <d v="2026-07-07T00:00:00"/>
    <s v="P011"/>
    <x v="11"/>
    <x v="0"/>
    <s v="TechParts Malaysia"/>
    <n v="114"/>
    <n v="127"/>
    <x v="145"/>
    <n v="133"/>
    <n v="60.62"/>
    <n v="8062.46"/>
    <x v="1"/>
  </r>
  <r>
    <s v="TXN0799"/>
    <d v="2026-07-06T00:00:00"/>
    <s v="P012"/>
    <x v="5"/>
    <x v="4"/>
    <s v="SafePro Supplies"/>
    <n v="457"/>
    <n v="102"/>
    <x v="82"/>
    <n v="488"/>
    <n v="141.86000000000001"/>
    <n v="69227.679999999993"/>
    <x v="1"/>
  </r>
  <r>
    <s v="TXN0800"/>
    <d v="2026-04-28T00:00:00"/>
    <s v="P005"/>
    <x v="13"/>
    <x v="0"/>
    <s v="Mega Electric"/>
    <n v="436"/>
    <n v="25"/>
    <x v="202"/>
    <n v="277"/>
    <n v="199.38"/>
    <n v="55228.26"/>
    <x v="2"/>
  </r>
  <r>
    <s v="TXN0801"/>
    <d v="2026-08-10T00:00:00"/>
    <s v="P018"/>
    <x v="6"/>
    <x v="4"/>
    <s v="SafePro Supplies"/>
    <n v="458"/>
    <n v="97"/>
    <x v="118"/>
    <n v="505"/>
    <n v="156.81"/>
    <n v="79189.05"/>
    <x v="1"/>
  </r>
  <r>
    <s v="TXN0802"/>
    <d v="2026-08-31T00:00:00"/>
    <s v="P005"/>
    <x v="13"/>
    <x v="0"/>
    <s v="Mega Electric"/>
    <n v="432"/>
    <n v="2"/>
    <x v="51"/>
    <n v="389"/>
    <n v="204.4"/>
    <n v="79511.600000000006"/>
    <x v="2"/>
  </r>
  <r>
    <s v="TXN0803"/>
    <d v="2026-06-11T00:00:00"/>
    <s v="P017"/>
    <x v="9"/>
    <x v="0"/>
    <s v="Mega Electric"/>
    <n v="422"/>
    <n v="124"/>
    <x v="178"/>
    <n v="470"/>
    <n v="61.51"/>
    <n v="28909.7"/>
    <x v="1"/>
  </r>
  <r>
    <s v="TXN0804"/>
    <d v="2026-07-23T00:00:00"/>
    <s v="P002"/>
    <x v="15"/>
    <x v="4"/>
    <s v="SafePro Supplies"/>
    <n v="70"/>
    <n v="176"/>
    <x v="7"/>
    <n v="205"/>
    <n v="9.23"/>
    <n v="1892.15"/>
    <x v="0"/>
  </r>
  <r>
    <s v="TXN0805"/>
    <d v="2026-02-19T00:00:00"/>
    <s v="P016"/>
    <x v="18"/>
    <x v="1"/>
    <s v="Maju Industrial"/>
    <n v="250"/>
    <n v="85"/>
    <x v="207"/>
    <n v="269"/>
    <n v="150.52000000000001"/>
    <n v="40489.879999999997"/>
    <x v="1"/>
  </r>
  <r>
    <s v="TXN0806"/>
    <d v="2026-05-12T00:00:00"/>
    <s v="P018"/>
    <x v="6"/>
    <x v="4"/>
    <s v="SafePro Supplies"/>
    <n v="196"/>
    <n v="5"/>
    <x v="28"/>
    <n v="96"/>
    <n v="156.15"/>
    <n v="14990.4"/>
    <x v="1"/>
  </r>
  <r>
    <s v="TXN0807"/>
    <d v="2026-04-12T00:00:00"/>
    <s v="P020"/>
    <x v="14"/>
    <x v="2"/>
    <s v="PackRight Trading"/>
    <n v="315"/>
    <n v="147"/>
    <x v="74"/>
    <n v="296"/>
    <n v="4.91"/>
    <n v="1453.36"/>
    <x v="2"/>
  </r>
  <r>
    <s v="TXN0808"/>
    <d v="2026-07-01T00:00:00"/>
    <s v="P010"/>
    <x v="12"/>
    <x v="1"/>
    <s v="TechParts Malaysia"/>
    <n v="186"/>
    <n v="172"/>
    <x v="196"/>
    <n v="228"/>
    <n v="11.23"/>
    <n v="2560.44"/>
    <x v="1"/>
  </r>
  <r>
    <s v="TXN0809"/>
    <d v="2026-02-10T00:00:00"/>
    <s v="P015"/>
    <x v="8"/>
    <x v="2"/>
    <s v="Johor Packaging"/>
    <n v="215"/>
    <n v="157"/>
    <x v="106"/>
    <n v="299"/>
    <n v="181.96"/>
    <n v="54406.04"/>
    <x v="2"/>
  </r>
  <r>
    <s v="TXN0810"/>
    <d v="2026-06-22T00:00:00"/>
    <s v="P006"/>
    <x v="0"/>
    <x v="0"/>
    <s v="Mega Electric"/>
    <n v="235"/>
    <n v="161"/>
    <x v="59"/>
    <n v="240"/>
    <n v="192.63"/>
    <n v="46231.199999999997"/>
    <x v="2"/>
  </r>
  <r>
    <s v="TXN0811"/>
    <d v="2026-03-24T00:00:00"/>
    <s v="P003"/>
    <x v="3"/>
    <x v="2"/>
    <s v="PackRight Trading"/>
    <n v="195"/>
    <n v="58"/>
    <x v="89"/>
    <n v="173"/>
    <n v="76.86"/>
    <n v="13296.78"/>
    <x v="0"/>
  </r>
  <r>
    <s v="TXN0812"/>
    <d v="2026-07-22T00:00:00"/>
    <s v="P009"/>
    <x v="2"/>
    <x v="2"/>
    <s v="Johor Packaging"/>
    <n v="158"/>
    <n v="113"/>
    <x v="203"/>
    <n v="72"/>
    <n v="126.83"/>
    <n v="9131.76"/>
    <x v="0"/>
  </r>
  <r>
    <s v="TXN0813"/>
    <d v="2026-09-24T00:00:00"/>
    <s v="P019"/>
    <x v="4"/>
    <x v="3"/>
    <s v="LogiEquip"/>
    <n v="250"/>
    <n v="105"/>
    <x v="160"/>
    <n v="313"/>
    <n v="215.72"/>
    <n v="67520.36"/>
    <x v="2"/>
  </r>
  <r>
    <s v="TXN0814"/>
    <d v="2026-05-01T00:00:00"/>
    <s v="P005"/>
    <x v="13"/>
    <x v="0"/>
    <s v="Mega Electric"/>
    <n v="358"/>
    <n v="64"/>
    <x v="63"/>
    <n v="232"/>
    <n v="213.65"/>
    <n v="49566.8"/>
    <x v="2"/>
  </r>
  <r>
    <s v="TXN0815"/>
    <d v="2026-03-27T00:00:00"/>
    <s v="P007"/>
    <x v="16"/>
    <x v="4"/>
    <s v="SafePro Supplies"/>
    <n v="223"/>
    <n v="26"/>
    <x v="215"/>
    <n v="225"/>
    <n v="232.68"/>
    <n v="52353"/>
    <x v="0"/>
  </r>
  <r>
    <s v="TXN0816"/>
    <d v="2026-01-28T00:00:00"/>
    <s v="P018"/>
    <x v="6"/>
    <x v="4"/>
    <s v="SafePro Supplies"/>
    <n v="33"/>
    <n v="101"/>
    <x v="173"/>
    <n v="0"/>
    <n v="173.27"/>
    <n v="0"/>
    <x v="2"/>
  </r>
  <r>
    <s v="TXN0817"/>
    <d v="2026-05-15T00:00:00"/>
    <s v="P004"/>
    <x v="1"/>
    <x v="1"/>
    <s v="Maju Industrial"/>
    <n v="336"/>
    <n v="39"/>
    <x v="46"/>
    <n v="354"/>
    <n v="66.44"/>
    <n v="23519.759999999998"/>
    <x v="0"/>
  </r>
  <r>
    <s v="TXN0818"/>
    <d v="2026-04-28T00:00:00"/>
    <s v="P010"/>
    <x v="12"/>
    <x v="1"/>
    <s v="TechParts Malaysia"/>
    <n v="146"/>
    <n v="72"/>
    <x v="31"/>
    <n v="105"/>
    <n v="11.48"/>
    <n v="1205.4000000000001"/>
    <x v="2"/>
  </r>
  <r>
    <s v="TXN0819"/>
    <d v="2026-03-29T00:00:00"/>
    <s v="P017"/>
    <x v="9"/>
    <x v="0"/>
    <s v="Mega Electric"/>
    <n v="34"/>
    <n v="8"/>
    <x v="160"/>
    <n v="0"/>
    <n v="62.59"/>
    <n v="0"/>
    <x v="0"/>
  </r>
  <r>
    <s v="TXN0820"/>
    <d v="2026-08-28T00:00:00"/>
    <s v="P016"/>
    <x v="18"/>
    <x v="1"/>
    <s v="Maju Industrial"/>
    <n v="465"/>
    <n v="138"/>
    <x v="68"/>
    <n v="534"/>
    <n v="155.13999999999999"/>
    <n v="82844.759999999995"/>
    <x v="2"/>
  </r>
  <r>
    <s v="TXN0821"/>
    <d v="2026-04-01T00:00:00"/>
    <s v="P018"/>
    <x v="6"/>
    <x v="4"/>
    <s v="SafePro Supplies"/>
    <n v="322"/>
    <n v="152"/>
    <x v="88"/>
    <n v="358"/>
    <n v="169.71"/>
    <n v="60756.18"/>
    <x v="1"/>
  </r>
  <r>
    <s v="TXN0822"/>
    <d v="2026-08-11T00:00:00"/>
    <s v="P019"/>
    <x v="4"/>
    <x v="3"/>
    <s v="LogiEquip"/>
    <n v="288"/>
    <n v="163"/>
    <x v="91"/>
    <n v="288"/>
    <n v="228.44"/>
    <n v="65790.720000000001"/>
    <x v="0"/>
  </r>
  <r>
    <s v="TXN0823"/>
    <d v="2026-04-27T00:00:00"/>
    <s v="P016"/>
    <x v="18"/>
    <x v="1"/>
    <s v="Maju Industrial"/>
    <n v="432"/>
    <n v="22"/>
    <x v="31"/>
    <n v="341"/>
    <n v="149.22"/>
    <n v="50884.02"/>
    <x v="0"/>
  </r>
  <r>
    <s v="TXN0824"/>
    <d v="2026-03-21T00:00:00"/>
    <s v="P009"/>
    <x v="2"/>
    <x v="2"/>
    <s v="Johor Packaging"/>
    <n v="175"/>
    <n v="2"/>
    <x v="193"/>
    <n v="177"/>
    <n v="120.32"/>
    <n v="21296.639999999999"/>
    <x v="2"/>
  </r>
  <r>
    <s v="TXN0825"/>
    <d v="2026-05-27T00:00:00"/>
    <s v="P012"/>
    <x v="5"/>
    <x v="4"/>
    <s v="SafePro Supplies"/>
    <n v="260"/>
    <n v="136"/>
    <x v="41"/>
    <n v="394"/>
    <n v="147.28"/>
    <n v="58028.32"/>
    <x v="2"/>
  </r>
  <r>
    <s v="TXN0826"/>
    <d v="2026-06-03T00:00:00"/>
    <s v="P016"/>
    <x v="18"/>
    <x v="1"/>
    <s v="Maju Industrial"/>
    <n v="24"/>
    <n v="110"/>
    <x v="151"/>
    <n v="60"/>
    <n v="156.34"/>
    <n v="9380.4"/>
    <x v="2"/>
  </r>
  <r>
    <s v="TXN0827"/>
    <d v="2026-07-11T00:00:00"/>
    <s v="P018"/>
    <x v="6"/>
    <x v="4"/>
    <s v="SafePro Supplies"/>
    <n v="116"/>
    <n v="105"/>
    <x v="166"/>
    <n v="78"/>
    <n v="164.55"/>
    <n v="12834.9"/>
    <x v="2"/>
  </r>
  <r>
    <s v="TXN0828"/>
    <d v="2026-07-19T00:00:00"/>
    <s v="P006"/>
    <x v="0"/>
    <x v="0"/>
    <s v="Mega Electric"/>
    <n v="444"/>
    <n v="96"/>
    <x v="128"/>
    <n v="484"/>
    <n v="183.22"/>
    <n v="88678.48"/>
    <x v="0"/>
  </r>
  <r>
    <s v="TXN0829"/>
    <d v="2026-09-22T00:00:00"/>
    <s v="P008"/>
    <x v="7"/>
    <x v="2"/>
    <s v="PackRight Trading"/>
    <n v="411"/>
    <n v="156"/>
    <x v="27"/>
    <n v="361"/>
    <n v="27.92"/>
    <n v="10079.120000000001"/>
    <x v="0"/>
  </r>
  <r>
    <s v="TXN0830"/>
    <d v="2026-09-30T00:00:00"/>
    <s v="P010"/>
    <x v="12"/>
    <x v="1"/>
    <s v="TechParts Malaysia"/>
    <n v="434"/>
    <n v="68"/>
    <x v="28"/>
    <n v="397"/>
    <n v="10.69"/>
    <n v="4243.93"/>
    <x v="2"/>
  </r>
  <r>
    <s v="TXN0831"/>
    <d v="2026-03-11T00:00:00"/>
    <s v="P006"/>
    <x v="0"/>
    <x v="0"/>
    <s v="Mega Electric"/>
    <n v="168"/>
    <n v="28"/>
    <x v="91"/>
    <n v="33"/>
    <n v="189.09"/>
    <n v="6239.97"/>
    <x v="0"/>
  </r>
  <r>
    <s v="TXN0832"/>
    <d v="2026-09-09T00:00:00"/>
    <s v="P009"/>
    <x v="2"/>
    <x v="2"/>
    <s v="Johor Packaging"/>
    <n v="116"/>
    <n v="82"/>
    <x v="181"/>
    <n v="194"/>
    <n v="113.2"/>
    <n v="21960.799999999999"/>
    <x v="1"/>
  </r>
  <r>
    <s v="TXN0833"/>
    <d v="2026-04-06T00:00:00"/>
    <s v="P001"/>
    <x v="17"/>
    <x v="1"/>
    <s v="Maju Industrial"/>
    <n v="72"/>
    <n v="72"/>
    <x v="182"/>
    <n v="76"/>
    <n v="169.32"/>
    <n v="12868.32"/>
    <x v="0"/>
  </r>
  <r>
    <s v="TXN0834"/>
    <d v="2026-04-30T00:00:00"/>
    <s v="P001"/>
    <x v="17"/>
    <x v="1"/>
    <s v="Maju Industrial"/>
    <n v="66"/>
    <n v="38"/>
    <x v="24"/>
    <n v="103"/>
    <n v="179.94"/>
    <n v="18533.82"/>
    <x v="0"/>
  </r>
  <r>
    <s v="TXN0835"/>
    <d v="2026-06-09T00:00:00"/>
    <s v="P014"/>
    <x v="10"/>
    <x v="3"/>
    <s v="LogiEquip"/>
    <n v="422"/>
    <n v="127"/>
    <x v="22"/>
    <n v="454"/>
    <n v="57.74"/>
    <n v="26213.96"/>
    <x v="2"/>
  </r>
  <r>
    <s v="TXN0836"/>
    <d v="2026-02-11T00:00:00"/>
    <s v="P011"/>
    <x v="11"/>
    <x v="0"/>
    <s v="TechParts Malaysia"/>
    <n v="451"/>
    <n v="37"/>
    <x v="12"/>
    <n v="474"/>
    <n v="61.19"/>
    <n v="29004.06"/>
    <x v="0"/>
  </r>
  <r>
    <s v="TXN0837"/>
    <d v="2026-08-29T00:00:00"/>
    <s v="P003"/>
    <x v="3"/>
    <x v="2"/>
    <s v="PackRight Trading"/>
    <n v="112"/>
    <n v="49"/>
    <x v="73"/>
    <n v="97"/>
    <n v="83.2"/>
    <n v="8070.4"/>
    <x v="2"/>
  </r>
  <r>
    <s v="TXN0838"/>
    <d v="2026-05-08T00:00:00"/>
    <s v="P004"/>
    <x v="1"/>
    <x v="1"/>
    <s v="Maju Industrial"/>
    <n v="217"/>
    <n v="113"/>
    <x v="11"/>
    <n v="267"/>
    <n v="67.290000000000006"/>
    <n v="17966.43"/>
    <x v="2"/>
  </r>
  <r>
    <s v="TXN0839"/>
    <d v="2026-08-24T00:00:00"/>
    <s v="P007"/>
    <x v="16"/>
    <x v="4"/>
    <s v="SafePro Supplies"/>
    <n v="396"/>
    <n v="24"/>
    <x v="206"/>
    <n v="287"/>
    <n v="256.77999999999997"/>
    <n v="73695.86"/>
    <x v="2"/>
  </r>
  <r>
    <s v="TXN0840"/>
    <d v="2026-07-19T00:00:00"/>
    <s v="P016"/>
    <x v="18"/>
    <x v="1"/>
    <s v="Maju Industrial"/>
    <n v="368"/>
    <n v="79"/>
    <x v="103"/>
    <n v="365"/>
    <n v="145.54"/>
    <n v="53122.1"/>
    <x v="1"/>
  </r>
  <r>
    <s v="TXN0841"/>
    <d v="2026-09-24T00:00:00"/>
    <s v="P002"/>
    <x v="15"/>
    <x v="4"/>
    <s v="SafePro Supplies"/>
    <n v="82"/>
    <n v="64"/>
    <x v="33"/>
    <n v="23"/>
    <n v="10.15"/>
    <n v="233.45"/>
    <x v="2"/>
  </r>
  <r>
    <s v="TXN0842"/>
    <d v="2026-01-27T00:00:00"/>
    <s v="P012"/>
    <x v="5"/>
    <x v="4"/>
    <s v="SafePro Supplies"/>
    <n v="462"/>
    <n v="170"/>
    <x v="25"/>
    <n v="577"/>
    <n v="153.81"/>
    <n v="88748.37"/>
    <x v="2"/>
  </r>
  <r>
    <s v="TXN0843"/>
    <d v="2026-06-16T00:00:00"/>
    <s v="P014"/>
    <x v="10"/>
    <x v="3"/>
    <s v="LogiEquip"/>
    <n v="27"/>
    <n v="42"/>
    <x v="186"/>
    <n v="34"/>
    <n v="58.87"/>
    <n v="2001.58"/>
    <x v="0"/>
  </r>
  <r>
    <s v="TXN0844"/>
    <d v="2026-01-05T00:00:00"/>
    <s v="P008"/>
    <x v="7"/>
    <x v="2"/>
    <s v="PackRight Trading"/>
    <n v="41"/>
    <n v="148"/>
    <x v="168"/>
    <n v="13"/>
    <n v="26.97"/>
    <n v="350.61"/>
    <x v="1"/>
  </r>
  <r>
    <s v="TXN0845"/>
    <d v="2026-07-10T00:00:00"/>
    <s v="P005"/>
    <x v="13"/>
    <x v="0"/>
    <s v="Mega Electric"/>
    <n v="414"/>
    <n v="22"/>
    <x v="11"/>
    <n v="373"/>
    <n v="195.67"/>
    <n v="72984.91"/>
    <x v="2"/>
  </r>
  <r>
    <s v="TXN0846"/>
    <d v="2026-06-23T00:00:00"/>
    <s v="P020"/>
    <x v="14"/>
    <x v="2"/>
    <s v="PackRight Trading"/>
    <n v="496"/>
    <n v="160"/>
    <x v="94"/>
    <n v="641"/>
    <n v="4.46"/>
    <n v="2858.86"/>
    <x v="1"/>
  </r>
  <r>
    <s v="TXN0847"/>
    <d v="2026-02-24T00:00:00"/>
    <s v="P005"/>
    <x v="13"/>
    <x v="0"/>
    <s v="Mega Electric"/>
    <n v="84"/>
    <n v="124"/>
    <x v="96"/>
    <n v="149"/>
    <n v="200.93"/>
    <n v="29938.57"/>
    <x v="1"/>
  </r>
  <r>
    <s v="TXN0848"/>
    <d v="2026-08-13T00:00:00"/>
    <s v="P012"/>
    <x v="5"/>
    <x v="4"/>
    <s v="SafePro Supplies"/>
    <n v="395"/>
    <n v="49"/>
    <x v="75"/>
    <n v="439"/>
    <n v="147.31"/>
    <n v="64669.09"/>
    <x v="0"/>
  </r>
  <r>
    <s v="TXN0849"/>
    <d v="2026-05-09T00:00:00"/>
    <s v="P005"/>
    <x v="13"/>
    <x v="0"/>
    <s v="Mega Electric"/>
    <n v="480"/>
    <n v="10"/>
    <x v="216"/>
    <n v="366"/>
    <n v="213.85"/>
    <n v="78269.100000000006"/>
    <x v="1"/>
  </r>
  <r>
    <s v="TXN0850"/>
    <d v="2026-09-08T00:00:00"/>
    <s v="P010"/>
    <x v="12"/>
    <x v="1"/>
    <s v="TechParts Malaysia"/>
    <n v="117"/>
    <n v="145"/>
    <x v="152"/>
    <n v="215"/>
    <n v="11.33"/>
    <n v="2435.9499999999998"/>
    <x v="0"/>
  </r>
  <r>
    <s v="TXN0851"/>
    <d v="2026-05-21T00:00:00"/>
    <s v="P015"/>
    <x v="8"/>
    <x v="2"/>
    <s v="Johor Packaging"/>
    <n v="464"/>
    <n v="153"/>
    <x v="190"/>
    <n v="397"/>
    <n v="184.61"/>
    <n v="73290.17"/>
    <x v="2"/>
  </r>
  <r>
    <s v="TXN0852"/>
    <d v="2026-03-21T00:00:00"/>
    <s v="P017"/>
    <x v="9"/>
    <x v="0"/>
    <s v="Mega Electric"/>
    <n v="250"/>
    <n v="75"/>
    <x v="169"/>
    <n v="116"/>
    <n v="61.64"/>
    <n v="7150.24"/>
    <x v="0"/>
  </r>
  <r>
    <s v="TXN0853"/>
    <d v="2026-01-01T00:00:00"/>
    <s v="P015"/>
    <x v="8"/>
    <x v="2"/>
    <s v="Johor Packaging"/>
    <n v="417"/>
    <n v="163"/>
    <x v="16"/>
    <n v="451"/>
    <n v="179.48"/>
    <n v="80945.48"/>
    <x v="2"/>
  </r>
  <r>
    <s v="TXN0854"/>
    <d v="2026-07-06T00:00:00"/>
    <s v="P001"/>
    <x v="17"/>
    <x v="1"/>
    <s v="Maju Industrial"/>
    <n v="417"/>
    <n v="158"/>
    <x v="18"/>
    <n v="514"/>
    <n v="174.95"/>
    <n v="89924.3"/>
    <x v="2"/>
  </r>
  <r>
    <s v="TXN0855"/>
    <d v="2026-07-18T00:00:00"/>
    <s v="P018"/>
    <x v="6"/>
    <x v="4"/>
    <s v="SafePro Supplies"/>
    <n v="117"/>
    <n v="134"/>
    <x v="14"/>
    <n v="77"/>
    <n v="166.16"/>
    <n v="12794.32"/>
    <x v="1"/>
  </r>
  <r>
    <s v="TXN0856"/>
    <d v="2026-05-25T00:00:00"/>
    <s v="P005"/>
    <x v="13"/>
    <x v="0"/>
    <s v="Mega Electric"/>
    <n v="185"/>
    <n v="104"/>
    <x v="125"/>
    <n v="125"/>
    <n v="201.11"/>
    <n v="25138.75"/>
    <x v="2"/>
  </r>
  <r>
    <s v="TXN0857"/>
    <d v="2026-02-04T00:00:00"/>
    <s v="P017"/>
    <x v="9"/>
    <x v="0"/>
    <s v="Mega Electric"/>
    <n v="42"/>
    <n v="33"/>
    <x v="195"/>
    <n v="53"/>
    <n v="67.89"/>
    <n v="3598.17"/>
    <x v="2"/>
  </r>
  <r>
    <s v="TXN0858"/>
    <d v="2026-09-06T00:00:00"/>
    <s v="P004"/>
    <x v="1"/>
    <x v="1"/>
    <s v="Maju Industrial"/>
    <n v="118"/>
    <n v="25"/>
    <x v="124"/>
    <n v="135"/>
    <n v="65.569999999999993"/>
    <n v="8851.9500000000007"/>
    <x v="0"/>
  </r>
  <r>
    <s v="TXN0859"/>
    <d v="2026-09-27T00:00:00"/>
    <s v="P016"/>
    <x v="18"/>
    <x v="1"/>
    <s v="Maju Industrial"/>
    <n v="339"/>
    <n v="179"/>
    <x v="176"/>
    <n v="367"/>
    <n v="147.94"/>
    <n v="54293.98"/>
    <x v="0"/>
  </r>
  <r>
    <s v="TXN0860"/>
    <d v="2026-02-06T00:00:00"/>
    <s v="P008"/>
    <x v="7"/>
    <x v="2"/>
    <s v="PackRight Trading"/>
    <n v="26"/>
    <n v="53"/>
    <x v="165"/>
    <n v="17"/>
    <n v="28.94"/>
    <n v="491.98"/>
    <x v="2"/>
  </r>
  <r>
    <s v="TXN0861"/>
    <d v="2026-02-01T00:00:00"/>
    <s v="P015"/>
    <x v="8"/>
    <x v="2"/>
    <s v="Johor Packaging"/>
    <n v="204"/>
    <n v="142"/>
    <x v="63"/>
    <n v="156"/>
    <n v="195.85"/>
    <n v="30552.6"/>
    <x v="0"/>
  </r>
  <r>
    <s v="TXN0862"/>
    <d v="2026-01-30T00:00:00"/>
    <s v="P012"/>
    <x v="5"/>
    <x v="4"/>
    <s v="SafePro Supplies"/>
    <n v="441"/>
    <n v="157"/>
    <x v="182"/>
    <n v="530"/>
    <n v="143.65"/>
    <n v="76134.5"/>
    <x v="1"/>
  </r>
  <r>
    <s v="TXN0863"/>
    <d v="2026-06-05T00:00:00"/>
    <s v="P003"/>
    <x v="3"/>
    <x v="2"/>
    <s v="PackRight Trading"/>
    <n v="59"/>
    <n v="55"/>
    <x v="207"/>
    <n v="48"/>
    <n v="74.08"/>
    <n v="3555.84"/>
    <x v="1"/>
  </r>
  <r>
    <s v="TXN0864"/>
    <d v="2026-09-30T00:00:00"/>
    <s v="P008"/>
    <x v="7"/>
    <x v="2"/>
    <s v="PackRight Trading"/>
    <n v="217"/>
    <n v="48"/>
    <x v="162"/>
    <n v="216"/>
    <n v="27.2"/>
    <n v="5875.2"/>
    <x v="2"/>
  </r>
  <r>
    <s v="TXN0865"/>
    <d v="2026-04-02T00:00:00"/>
    <s v="P019"/>
    <x v="4"/>
    <x v="3"/>
    <s v="LogiEquip"/>
    <n v="305"/>
    <n v="142"/>
    <x v="108"/>
    <n v="341"/>
    <n v="236.16"/>
    <n v="80530.559999999998"/>
    <x v="1"/>
  </r>
  <r>
    <s v="TXN0866"/>
    <d v="2026-07-03T00:00:00"/>
    <s v="P019"/>
    <x v="4"/>
    <x v="3"/>
    <s v="LogiEquip"/>
    <n v="365"/>
    <n v="117"/>
    <x v="187"/>
    <n v="303"/>
    <n v="233.22"/>
    <n v="70665.66"/>
    <x v="2"/>
  </r>
  <r>
    <s v="TXN0867"/>
    <d v="2026-04-03T00:00:00"/>
    <s v="P006"/>
    <x v="0"/>
    <x v="0"/>
    <s v="Mega Electric"/>
    <n v="301"/>
    <n v="102"/>
    <x v="16"/>
    <n v="274"/>
    <n v="185.49"/>
    <n v="50824.26"/>
    <x v="2"/>
  </r>
  <r>
    <s v="TXN0868"/>
    <d v="2026-08-15T00:00:00"/>
    <s v="P018"/>
    <x v="6"/>
    <x v="4"/>
    <s v="SafePro Supplies"/>
    <n v="497"/>
    <n v="90"/>
    <x v="89"/>
    <n v="507"/>
    <n v="167.56"/>
    <n v="84952.92"/>
    <x v="0"/>
  </r>
  <r>
    <s v="TXN0869"/>
    <d v="2026-07-31T00:00:00"/>
    <s v="P012"/>
    <x v="5"/>
    <x v="4"/>
    <s v="SafePro Supplies"/>
    <n v="411"/>
    <n v="162"/>
    <x v="159"/>
    <n v="463"/>
    <n v="150.44"/>
    <n v="69653.72"/>
    <x v="0"/>
  </r>
  <r>
    <s v="TXN0870"/>
    <d v="2026-05-04T00:00:00"/>
    <s v="P020"/>
    <x v="14"/>
    <x v="2"/>
    <s v="PackRight Trading"/>
    <n v="308"/>
    <n v="139"/>
    <x v="26"/>
    <n v="393"/>
    <n v="4.7"/>
    <n v="1847.1"/>
    <x v="1"/>
  </r>
  <r>
    <s v="TXN0871"/>
    <d v="2026-07-04T00:00:00"/>
    <s v="P009"/>
    <x v="2"/>
    <x v="2"/>
    <s v="Johor Packaging"/>
    <n v="251"/>
    <n v="114"/>
    <x v="119"/>
    <n v="264"/>
    <n v="110.29"/>
    <n v="29116.560000000001"/>
    <x v="2"/>
  </r>
  <r>
    <s v="TXN0872"/>
    <d v="2026-01-09T00:00:00"/>
    <s v="P010"/>
    <x v="12"/>
    <x v="1"/>
    <s v="TechParts Malaysia"/>
    <n v="285"/>
    <n v="34"/>
    <x v="55"/>
    <n v="242"/>
    <n v="10.37"/>
    <n v="2509.54"/>
    <x v="2"/>
  </r>
  <r>
    <s v="TXN0873"/>
    <d v="2026-06-11T00:00:00"/>
    <s v="P007"/>
    <x v="16"/>
    <x v="4"/>
    <s v="SafePro Supplies"/>
    <n v="31"/>
    <n v="176"/>
    <x v="64"/>
    <n v="137"/>
    <n v="266.91000000000003"/>
    <n v="36566.67"/>
    <x v="1"/>
  </r>
  <r>
    <s v="TXN0874"/>
    <d v="2026-03-21T00:00:00"/>
    <s v="P018"/>
    <x v="6"/>
    <x v="4"/>
    <s v="SafePro Supplies"/>
    <n v="68"/>
    <n v="9"/>
    <x v="129"/>
    <n v="19"/>
    <n v="162.38999999999999"/>
    <n v="3085.41"/>
    <x v="2"/>
  </r>
  <r>
    <s v="TXN0875"/>
    <d v="2026-07-07T00:00:00"/>
    <s v="P009"/>
    <x v="2"/>
    <x v="2"/>
    <s v="Johor Packaging"/>
    <n v="475"/>
    <n v="149"/>
    <x v="11"/>
    <n v="561"/>
    <n v="114.75"/>
    <n v="64374.75"/>
    <x v="0"/>
  </r>
  <r>
    <s v="TXN0876"/>
    <d v="2026-07-24T00:00:00"/>
    <s v="P003"/>
    <x v="3"/>
    <x v="2"/>
    <s v="PackRight Trading"/>
    <n v="311"/>
    <n v="55"/>
    <x v="80"/>
    <n v="179"/>
    <n v="73.83"/>
    <n v="13215.57"/>
    <x v="0"/>
  </r>
  <r>
    <s v="TXN0877"/>
    <d v="2026-03-30T00:00:00"/>
    <s v="P016"/>
    <x v="18"/>
    <x v="1"/>
    <s v="Maju Industrial"/>
    <n v="269"/>
    <n v="176"/>
    <x v="187"/>
    <n v="266"/>
    <n v="155.83000000000001"/>
    <n v="41450.78"/>
    <x v="2"/>
  </r>
  <r>
    <s v="TXN0878"/>
    <d v="2026-06-03T00:00:00"/>
    <s v="P020"/>
    <x v="14"/>
    <x v="2"/>
    <s v="PackRight Trading"/>
    <n v="39"/>
    <n v="147"/>
    <x v="5"/>
    <n v="89"/>
    <n v="4.4800000000000004"/>
    <n v="398.72"/>
    <x v="2"/>
  </r>
  <r>
    <s v="TXN0879"/>
    <d v="2026-06-28T00:00:00"/>
    <s v="P011"/>
    <x v="11"/>
    <x v="0"/>
    <s v="TechParts Malaysia"/>
    <n v="470"/>
    <n v="111"/>
    <x v="108"/>
    <n v="475"/>
    <n v="67.94"/>
    <n v="32271.5"/>
    <x v="2"/>
  </r>
  <r>
    <s v="TXN0880"/>
    <d v="2026-01-06T00:00:00"/>
    <s v="P008"/>
    <x v="7"/>
    <x v="2"/>
    <s v="PackRight Trading"/>
    <n v="344"/>
    <n v="161"/>
    <x v="5"/>
    <n v="408"/>
    <n v="25.15"/>
    <n v="10261.200000000001"/>
    <x v="1"/>
  </r>
  <r>
    <s v="TXN0881"/>
    <d v="2026-06-13T00:00:00"/>
    <s v="P002"/>
    <x v="15"/>
    <x v="4"/>
    <s v="SafePro Supplies"/>
    <n v="296"/>
    <n v="144"/>
    <x v="47"/>
    <n v="402"/>
    <n v="9.65"/>
    <n v="3879.3"/>
    <x v="1"/>
  </r>
  <r>
    <s v="TXN0882"/>
    <d v="2026-03-20T00:00:00"/>
    <s v="P008"/>
    <x v="7"/>
    <x v="2"/>
    <s v="PackRight Trading"/>
    <n v="45"/>
    <n v="172"/>
    <x v="80"/>
    <n v="30"/>
    <n v="29.24"/>
    <n v="877.2"/>
    <x v="0"/>
  </r>
  <r>
    <s v="TXN0883"/>
    <d v="2026-09-16T00:00:00"/>
    <s v="P020"/>
    <x v="14"/>
    <x v="2"/>
    <s v="PackRight Trading"/>
    <n v="66"/>
    <n v="56"/>
    <x v="25"/>
    <n v="67"/>
    <n v="4.6399999999999997"/>
    <n v="310.88"/>
    <x v="0"/>
  </r>
  <r>
    <s v="TXN0884"/>
    <d v="2026-03-09T00:00:00"/>
    <s v="P005"/>
    <x v="13"/>
    <x v="0"/>
    <s v="Mega Electric"/>
    <n v="192"/>
    <n v="21"/>
    <x v="130"/>
    <n v="92"/>
    <n v="209.37"/>
    <n v="19262.04"/>
    <x v="2"/>
  </r>
  <r>
    <s v="TXN0885"/>
    <d v="2026-07-24T00:00:00"/>
    <s v="P018"/>
    <x v="6"/>
    <x v="4"/>
    <s v="SafePro Supplies"/>
    <n v="154"/>
    <n v="21"/>
    <x v="9"/>
    <n v="73"/>
    <n v="166.28"/>
    <n v="12138.44"/>
    <x v="1"/>
  </r>
  <r>
    <s v="TXN0886"/>
    <d v="2026-03-11T00:00:00"/>
    <s v="P005"/>
    <x v="13"/>
    <x v="0"/>
    <s v="Mega Electric"/>
    <n v="266"/>
    <n v="143"/>
    <x v="118"/>
    <n v="359"/>
    <n v="206.6"/>
    <n v="74169.399999999994"/>
    <x v="1"/>
  </r>
  <r>
    <s v="TXN0887"/>
    <d v="2026-04-11T00:00:00"/>
    <s v="P019"/>
    <x v="4"/>
    <x v="3"/>
    <s v="LogiEquip"/>
    <n v="307"/>
    <n v="157"/>
    <x v="214"/>
    <n v="276"/>
    <n v="228.09"/>
    <n v="62952.84"/>
    <x v="2"/>
  </r>
  <r>
    <s v="TXN0888"/>
    <d v="2026-05-17T00:00:00"/>
    <s v="P003"/>
    <x v="3"/>
    <x v="2"/>
    <s v="PackRight Trading"/>
    <n v="417"/>
    <n v="110"/>
    <x v="103"/>
    <n v="445"/>
    <n v="81.52"/>
    <n v="36276.400000000001"/>
    <x v="1"/>
  </r>
  <r>
    <s v="TXN0889"/>
    <d v="2026-02-27T00:00:00"/>
    <s v="P003"/>
    <x v="3"/>
    <x v="2"/>
    <s v="PackRight Trading"/>
    <n v="363"/>
    <n v="105"/>
    <x v="145"/>
    <n v="360"/>
    <n v="77.48"/>
    <n v="27892.799999999999"/>
    <x v="2"/>
  </r>
  <r>
    <s v="TXN0890"/>
    <d v="2026-06-26T00:00:00"/>
    <s v="P011"/>
    <x v="11"/>
    <x v="0"/>
    <s v="TechParts Malaysia"/>
    <n v="324"/>
    <n v="167"/>
    <x v="70"/>
    <n v="485"/>
    <n v="66.31"/>
    <n v="32160.35"/>
    <x v="2"/>
  </r>
  <r>
    <s v="TXN0891"/>
    <d v="2026-08-15T00:00:00"/>
    <s v="P012"/>
    <x v="5"/>
    <x v="4"/>
    <s v="SafePro Supplies"/>
    <n v="339"/>
    <n v="37"/>
    <x v="184"/>
    <n v="264"/>
    <n v="132.57"/>
    <n v="34998.480000000003"/>
    <x v="2"/>
  </r>
  <r>
    <s v="TXN0892"/>
    <d v="2026-07-11T00:00:00"/>
    <s v="P007"/>
    <x v="16"/>
    <x v="4"/>
    <s v="SafePro Supplies"/>
    <n v="99"/>
    <n v="21"/>
    <x v="12"/>
    <n v="106"/>
    <n v="259.72000000000003"/>
    <n v="27530.32"/>
    <x v="2"/>
  </r>
  <r>
    <s v="TXN0893"/>
    <d v="2026-03-17T00:00:00"/>
    <s v="P020"/>
    <x v="14"/>
    <x v="2"/>
    <s v="PackRight Trading"/>
    <n v="464"/>
    <n v="73"/>
    <x v="113"/>
    <n v="534"/>
    <n v="4.68"/>
    <n v="2499.12"/>
    <x v="2"/>
  </r>
  <r>
    <s v="TXN0894"/>
    <d v="2026-08-19T00:00:00"/>
    <s v="P010"/>
    <x v="12"/>
    <x v="1"/>
    <s v="TechParts Malaysia"/>
    <n v="261"/>
    <n v="5"/>
    <x v="126"/>
    <n v="182"/>
    <n v="10.73"/>
    <n v="1952.86"/>
    <x v="1"/>
  </r>
  <r>
    <s v="TXN0895"/>
    <d v="2026-04-15T00:00:00"/>
    <s v="P007"/>
    <x v="16"/>
    <x v="4"/>
    <s v="SafePro Supplies"/>
    <n v="299"/>
    <n v="133"/>
    <x v="217"/>
    <n v="240"/>
    <n v="240.47"/>
    <n v="57712.800000000003"/>
    <x v="0"/>
  </r>
  <r>
    <s v="TXN0896"/>
    <d v="2026-03-14T00:00:00"/>
    <s v="P020"/>
    <x v="14"/>
    <x v="2"/>
    <s v="PackRight Trading"/>
    <n v="375"/>
    <n v="178"/>
    <x v="211"/>
    <n v="382"/>
    <n v="4.43"/>
    <n v="1692.26"/>
    <x v="1"/>
  </r>
  <r>
    <s v="TXN0897"/>
    <d v="2026-01-23T00:00:00"/>
    <s v="P017"/>
    <x v="9"/>
    <x v="0"/>
    <s v="Mega Electric"/>
    <n v="150"/>
    <n v="43"/>
    <x v="94"/>
    <n v="178"/>
    <n v="61.85"/>
    <n v="11009.3"/>
    <x v="1"/>
  </r>
  <r>
    <s v="TXN0898"/>
    <d v="2026-05-19T00:00:00"/>
    <s v="P020"/>
    <x v="14"/>
    <x v="2"/>
    <s v="PackRight Trading"/>
    <n v="47"/>
    <n v="119"/>
    <x v="41"/>
    <n v="164"/>
    <n v="4.47"/>
    <n v="733.08"/>
    <x v="1"/>
  </r>
  <r>
    <s v="TXN0899"/>
    <d v="2026-07-04T00:00:00"/>
    <s v="P009"/>
    <x v="2"/>
    <x v="2"/>
    <s v="Johor Packaging"/>
    <n v="462"/>
    <n v="27"/>
    <x v="181"/>
    <n v="485"/>
    <n v="115.89"/>
    <n v="56206.65"/>
    <x v="1"/>
  </r>
  <r>
    <s v="TXN0901"/>
    <d v="2026-09-30T00:00:00"/>
    <s v="P016"/>
    <x v="18"/>
    <x v="1"/>
    <s v="Maju Industrial"/>
    <n v="65"/>
    <n v="47"/>
    <x v="112"/>
    <n v="87"/>
    <n v="153.96"/>
    <n v="13394.52"/>
    <x v="0"/>
  </r>
  <r>
    <s v="TXN0902"/>
    <d v="2026-01-12T00:00:00"/>
    <s v="P018"/>
    <x v="6"/>
    <x v="4"/>
    <s v="SafePro Supplies"/>
    <n v="40"/>
    <n v="63"/>
    <x v="95"/>
    <n v="36"/>
    <n v="161.04"/>
    <n v="5797.44"/>
    <x v="0"/>
  </r>
  <r>
    <s v="TXN0903"/>
    <d v="2026-03-22T00:00:00"/>
    <s v="P013"/>
    <x v="19"/>
    <x v="3"/>
    <s v="LogiEquip"/>
    <n v="29"/>
    <n v="88"/>
    <x v="84"/>
    <n v="30"/>
    <n v="10.11"/>
    <n v="303.3"/>
    <x v="1"/>
  </r>
  <r>
    <s v="TXN0904"/>
    <d v="2026-05-01T00:00:00"/>
    <s v="P010"/>
    <x v="12"/>
    <x v="1"/>
    <s v="TechParts Malaysia"/>
    <n v="276"/>
    <n v="70"/>
    <x v="174"/>
    <n v="139"/>
    <n v="10.47"/>
    <n v="1455.33"/>
    <x v="0"/>
  </r>
  <r>
    <s v="TXN0905"/>
    <d v="2026-01-16T00:00:00"/>
    <s v="P013"/>
    <x v="19"/>
    <x v="3"/>
    <s v="LogiEquip"/>
    <n v="304"/>
    <n v="71"/>
    <x v="58"/>
    <n v="318"/>
    <n v="9.77"/>
    <n v="3106.86"/>
    <x v="0"/>
  </r>
  <r>
    <s v="TXN0906"/>
    <d v="2026-02-14T00:00:00"/>
    <s v="P005"/>
    <x v="13"/>
    <x v="0"/>
    <s v="Mega Electric"/>
    <n v="393"/>
    <n v="97"/>
    <x v="206"/>
    <n v="357"/>
    <n v="222.26"/>
    <n v="79346.820000000007"/>
    <x v="1"/>
  </r>
  <r>
    <s v="TXN0907"/>
    <d v="2026-08-02T00:00:00"/>
    <s v="P008"/>
    <x v="7"/>
    <x v="2"/>
    <s v="PackRight Trading"/>
    <n v="143"/>
    <n v="146"/>
    <x v="0"/>
    <n v="250"/>
    <n v="26.76"/>
    <n v="6690"/>
    <x v="0"/>
  </r>
  <r>
    <s v="TXN0908"/>
    <d v="2026-06-18T00:00:00"/>
    <s v="P020"/>
    <x v="14"/>
    <x v="2"/>
    <s v="PackRight Trading"/>
    <n v="249"/>
    <n v="138"/>
    <x v="127"/>
    <n v="354"/>
    <n v="4.57"/>
    <n v="1617.78"/>
    <x v="2"/>
  </r>
  <r>
    <s v="TXN0909"/>
    <d v="2026-04-14T00:00:00"/>
    <s v="P019"/>
    <x v="4"/>
    <x v="3"/>
    <s v="LogiEquip"/>
    <n v="461"/>
    <n v="35"/>
    <x v="131"/>
    <n v="417"/>
    <n v="234.07"/>
    <n v="97607.19"/>
    <x v="1"/>
  </r>
  <r>
    <s v="TXN0910"/>
    <d v="2026-08-09T00:00:00"/>
    <s v="P005"/>
    <x v="13"/>
    <x v="0"/>
    <s v="Mega Electric"/>
    <n v="485"/>
    <n v="37"/>
    <x v="208"/>
    <n v="355"/>
    <n v="221.34"/>
    <n v="78575.7"/>
    <x v="2"/>
  </r>
  <r>
    <s v="TXN0911"/>
    <d v="2026-02-04T00:00:00"/>
    <s v="P011"/>
    <x v="11"/>
    <x v="0"/>
    <s v="TechParts Malaysia"/>
    <n v="305"/>
    <n v="136"/>
    <x v="202"/>
    <n v="257"/>
    <n v="59.68"/>
    <n v="15337.76"/>
    <x v="0"/>
  </r>
  <r>
    <s v="TXN0912"/>
    <d v="2026-01-16T00:00:00"/>
    <s v="P005"/>
    <x v="13"/>
    <x v="0"/>
    <s v="Mega Electric"/>
    <n v="411"/>
    <n v="81"/>
    <x v="28"/>
    <n v="387"/>
    <n v="222.28"/>
    <n v="86022.36"/>
    <x v="0"/>
  </r>
  <r>
    <s v="TXN0913"/>
    <d v="2026-05-21T00:00:00"/>
    <s v="P015"/>
    <x v="8"/>
    <x v="2"/>
    <s v="Johor Packaging"/>
    <n v="97"/>
    <n v="48"/>
    <x v="43"/>
    <n v="118"/>
    <n v="172.23"/>
    <n v="20323.14"/>
    <x v="2"/>
  </r>
  <r>
    <s v="TXN0914"/>
    <d v="2026-05-17T00:00:00"/>
    <s v="P020"/>
    <x v="14"/>
    <x v="2"/>
    <s v="PackRight Trading"/>
    <n v="330"/>
    <n v="145"/>
    <x v="59"/>
    <n v="319"/>
    <n v="4.59"/>
    <n v="1464.21"/>
    <x v="2"/>
  </r>
  <r>
    <s v="TXN0915"/>
    <d v="2026-01-14T00:00:00"/>
    <s v="P008"/>
    <x v="7"/>
    <x v="2"/>
    <s v="PackRight Trading"/>
    <n v="203"/>
    <n v="20"/>
    <x v="168"/>
    <n v="47"/>
    <n v="28.29"/>
    <n v="1329.63"/>
    <x v="2"/>
  </r>
  <r>
    <s v="TXN0916"/>
    <d v="2026-08-29T00:00:00"/>
    <s v="P017"/>
    <x v="9"/>
    <x v="0"/>
    <s v="Mega Electric"/>
    <n v="384"/>
    <n v="166"/>
    <x v="22"/>
    <n v="455"/>
    <n v="60.82"/>
    <n v="27673.1"/>
    <x v="0"/>
  </r>
  <r>
    <s v="TXN0917"/>
    <d v="2026-08-31T00:00:00"/>
    <s v="P016"/>
    <x v="18"/>
    <x v="1"/>
    <s v="Maju Industrial"/>
    <n v="90"/>
    <n v="41"/>
    <x v="162"/>
    <n v="82"/>
    <n v="147.21"/>
    <n v="12071.22"/>
    <x v="0"/>
  </r>
  <r>
    <s v="TXN0918"/>
    <d v="2026-05-19T00:00:00"/>
    <s v="P001"/>
    <x v="17"/>
    <x v="1"/>
    <s v="Maju Industrial"/>
    <n v="231"/>
    <n v="56"/>
    <x v="63"/>
    <n v="97"/>
    <n v="185.06"/>
    <n v="17950.82"/>
    <x v="2"/>
  </r>
  <r>
    <s v="TXN0919"/>
    <d v="2026-02-03T00:00:00"/>
    <s v="P007"/>
    <x v="16"/>
    <x v="4"/>
    <s v="SafePro Supplies"/>
    <n v="110"/>
    <n v="112"/>
    <x v="213"/>
    <n v="65"/>
    <n v="249.73"/>
    <n v="16232.45"/>
    <x v="0"/>
  </r>
  <r>
    <s v="TXN0920"/>
    <d v="2026-05-07T00:00:00"/>
    <s v="P015"/>
    <x v="8"/>
    <x v="2"/>
    <s v="Johor Packaging"/>
    <n v="238"/>
    <n v="103"/>
    <x v="120"/>
    <n v="143"/>
    <n v="169.6"/>
    <n v="24252.799999999999"/>
    <x v="1"/>
  </r>
  <r>
    <s v="TXN0921"/>
    <d v="2026-06-10T00:00:00"/>
    <s v="P013"/>
    <x v="19"/>
    <x v="3"/>
    <s v="LogiEquip"/>
    <n v="221"/>
    <n v="156"/>
    <x v="63"/>
    <n v="187"/>
    <n v="10.47"/>
    <n v="1957.89"/>
    <x v="1"/>
  </r>
  <r>
    <s v="TXN0922"/>
    <d v="2026-01-20T00:00:00"/>
    <s v="P017"/>
    <x v="9"/>
    <x v="0"/>
    <s v="Mega Electric"/>
    <n v="286"/>
    <n v="27"/>
    <x v="161"/>
    <n v="198"/>
    <n v="63.62"/>
    <n v="12596.76"/>
    <x v="2"/>
  </r>
  <r>
    <s v="TXN0923"/>
    <d v="2026-09-23T00:00:00"/>
    <s v="P008"/>
    <x v="7"/>
    <x v="2"/>
    <s v="PackRight Trading"/>
    <n v="295"/>
    <n v="101"/>
    <x v="214"/>
    <n v="208"/>
    <n v="25.09"/>
    <n v="5218.72"/>
    <x v="0"/>
  </r>
  <r>
    <s v="TXN0924"/>
    <d v="2026-01-26T00:00:00"/>
    <s v="P017"/>
    <x v="9"/>
    <x v="0"/>
    <s v="Mega Electric"/>
    <n v="117"/>
    <n v="74"/>
    <x v="184"/>
    <n v="79"/>
    <n v="63.02"/>
    <n v="4978.58"/>
    <x v="0"/>
  </r>
  <r>
    <s v="TXN0925"/>
    <d v="2026-08-25T00:00:00"/>
    <s v="P010"/>
    <x v="12"/>
    <x v="1"/>
    <s v="TechParts Malaysia"/>
    <n v="105"/>
    <n v="108"/>
    <x v="194"/>
    <n v="138"/>
    <n v="11.46"/>
    <n v="1581.48"/>
    <x v="2"/>
  </r>
  <r>
    <s v="TXN0926"/>
    <d v="2026-03-14T00:00:00"/>
    <s v="P017"/>
    <x v="9"/>
    <x v="0"/>
    <s v="Mega Electric"/>
    <n v="257"/>
    <n v="165"/>
    <x v="161"/>
    <n v="307"/>
    <n v="59.86"/>
    <n v="18377.02"/>
    <x v="1"/>
  </r>
  <r>
    <s v="TXN0927"/>
    <d v="2026-04-03T00:00:00"/>
    <s v="P004"/>
    <x v="1"/>
    <x v="1"/>
    <s v="Maju Industrial"/>
    <n v="418"/>
    <n v="149"/>
    <x v="150"/>
    <n v="389"/>
    <n v="65.31"/>
    <n v="25405.59"/>
    <x v="0"/>
  </r>
  <r>
    <s v="TXN0928"/>
    <d v="2026-06-15T00:00:00"/>
    <s v="P014"/>
    <x v="10"/>
    <x v="3"/>
    <s v="LogiEquip"/>
    <n v="250"/>
    <n v="6"/>
    <x v="51"/>
    <n v="211"/>
    <n v="57.65"/>
    <n v="12164.15"/>
    <x v="1"/>
  </r>
  <r>
    <s v="TXN0929"/>
    <d v="2026-08-21T00:00:00"/>
    <s v="P007"/>
    <x v="16"/>
    <x v="4"/>
    <s v="SafePro Supplies"/>
    <n v="66"/>
    <n v="64"/>
    <x v="103"/>
    <n v="48"/>
    <n v="257.81"/>
    <n v="12374.88"/>
    <x v="1"/>
  </r>
  <r>
    <s v="TXN0930"/>
    <d v="2026-03-05T00:00:00"/>
    <s v="P006"/>
    <x v="0"/>
    <x v="0"/>
    <s v="Mega Electric"/>
    <n v="66"/>
    <n v="29"/>
    <x v="142"/>
    <n v="5"/>
    <n v="188.9"/>
    <n v="944.5"/>
    <x v="0"/>
  </r>
  <r>
    <s v="TXN0931"/>
    <d v="2026-09-26T00:00:00"/>
    <s v="P003"/>
    <x v="3"/>
    <x v="2"/>
    <s v="PackRight Trading"/>
    <n v="382"/>
    <n v="98"/>
    <x v="155"/>
    <n v="294"/>
    <n v="82.87"/>
    <n v="24363.78"/>
    <x v="1"/>
  </r>
  <r>
    <s v="TXN0932"/>
    <d v="2026-03-23T00:00:00"/>
    <s v="P020"/>
    <x v="14"/>
    <x v="2"/>
    <s v="PackRight Trading"/>
    <n v="213"/>
    <n v="140"/>
    <x v="5"/>
    <n v="256"/>
    <n v="4.45"/>
    <n v="1139.2"/>
    <x v="2"/>
  </r>
  <r>
    <s v="TXN0933"/>
    <d v="2026-03-18T00:00:00"/>
    <s v="P011"/>
    <x v="11"/>
    <x v="0"/>
    <s v="TechParts Malaysia"/>
    <n v="103"/>
    <n v="37"/>
    <x v="51"/>
    <n v="95"/>
    <n v="66.3"/>
    <n v="6298.5"/>
    <x v="2"/>
  </r>
  <r>
    <s v="TXN0934"/>
    <d v="2026-06-07T00:00:00"/>
    <s v="P014"/>
    <x v="10"/>
    <x v="3"/>
    <s v="LogiEquip"/>
    <n v="178"/>
    <n v="114"/>
    <x v="106"/>
    <n v="219"/>
    <n v="59.25"/>
    <n v="12975.75"/>
    <x v="2"/>
  </r>
  <r>
    <s v="TXN0935"/>
    <d v="2026-04-14T00:00:00"/>
    <s v="P005"/>
    <x v="13"/>
    <x v="0"/>
    <s v="Mega Electric"/>
    <n v="21"/>
    <n v="159"/>
    <x v="73"/>
    <n v="116"/>
    <n v="190.85"/>
    <n v="22138.6"/>
    <x v="0"/>
  </r>
  <r>
    <s v="TXN0936"/>
    <d v="2026-01-03T00:00:00"/>
    <s v="P016"/>
    <x v="18"/>
    <x v="1"/>
    <s v="Maju Industrial"/>
    <n v="331"/>
    <n v="126"/>
    <x v="114"/>
    <n v="397"/>
    <n v="146.97"/>
    <n v="58347.09"/>
    <x v="1"/>
  </r>
  <r>
    <s v="TXN0937"/>
    <d v="2026-08-21T00:00:00"/>
    <s v="P016"/>
    <x v="18"/>
    <x v="1"/>
    <s v="Maju Industrial"/>
    <n v="229"/>
    <n v="113"/>
    <x v="66"/>
    <n v="322"/>
    <n v="156.44"/>
    <n v="50373.68"/>
    <x v="2"/>
  </r>
  <r>
    <s v="TXN0938"/>
    <d v="2026-05-23T00:00:00"/>
    <s v="P008"/>
    <x v="7"/>
    <x v="2"/>
    <s v="PackRight Trading"/>
    <n v="337"/>
    <n v="160"/>
    <x v="144"/>
    <n v="355"/>
    <n v="28.47"/>
    <n v="10106.85"/>
    <x v="2"/>
  </r>
  <r>
    <s v="TXN0939"/>
    <d v="2026-04-05T00:00:00"/>
    <s v="P002"/>
    <x v="15"/>
    <x v="4"/>
    <s v="SafePro Supplies"/>
    <n v="95"/>
    <n v="14"/>
    <x v="72"/>
    <n v="26"/>
    <n v="9.69"/>
    <n v="251.94"/>
    <x v="2"/>
  </r>
  <r>
    <s v="TXN0940"/>
    <d v="2026-06-02T00:00:00"/>
    <s v="P002"/>
    <x v="15"/>
    <x v="4"/>
    <s v="SafePro Supplies"/>
    <n v="189"/>
    <n v="22"/>
    <x v="134"/>
    <n v="199"/>
    <n v="9.31"/>
    <n v="1852.69"/>
    <x v="2"/>
  </r>
  <r>
    <s v="TXN0941"/>
    <d v="2026-05-26T00:00:00"/>
    <s v="P006"/>
    <x v="0"/>
    <x v="0"/>
    <s v="Mega Electric"/>
    <n v="332"/>
    <n v="169"/>
    <x v="192"/>
    <n v="324"/>
    <n v="196.54"/>
    <n v="63678.96"/>
    <x v="1"/>
  </r>
  <r>
    <s v="TXN0942"/>
    <d v="2026-04-01T00:00:00"/>
    <s v="P018"/>
    <x v="6"/>
    <x v="4"/>
    <s v="SafePro Supplies"/>
    <n v="253"/>
    <n v="148"/>
    <x v="218"/>
    <n v="309"/>
    <n v="177.7"/>
    <n v="54909.3"/>
    <x v="2"/>
  </r>
  <r>
    <s v="TXN0943"/>
    <d v="2026-06-15T00:00:00"/>
    <s v="P010"/>
    <x v="12"/>
    <x v="1"/>
    <s v="TechParts Malaysia"/>
    <n v="208"/>
    <n v="97"/>
    <x v="169"/>
    <n v="96"/>
    <n v="10.48"/>
    <n v="1006.08"/>
    <x v="0"/>
  </r>
  <r>
    <s v="TXN0944"/>
    <d v="2026-02-03T00:00:00"/>
    <s v="P018"/>
    <x v="6"/>
    <x v="4"/>
    <s v="SafePro Supplies"/>
    <n v="169"/>
    <n v="120"/>
    <x v="209"/>
    <n v="255"/>
    <n v="156.16999999999999"/>
    <n v="39823.35"/>
    <x v="0"/>
  </r>
  <r>
    <s v="TXN0945"/>
    <d v="2026-09-27T00:00:00"/>
    <s v="P011"/>
    <x v="11"/>
    <x v="0"/>
    <s v="TechParts Malaysia"/>
    <n v="231"/>
    <n v="134"/>
    <x v="6"/>
    <n v="312"/>
    <n v="65.55"/>
    <n v="20451.599999999999"/>
    <x v="1"/>
  </r>
  <r>
    <s v="TXN0946"/>
    <d v="2026-02-25T00:00:00"/>
    <s v="P002"/>
    <x v="15"/>
    <x v="4"/>
    <s v="SafePro Supplies"/>
    <n v="312"/>
    <n v="161"/>
    <x v="87"/>
    <n v="338"/>
    <n v="10.7"/>
    <n v="3616.6"/>
    <x v="0"/>
  </r>
  <r>
    <s v="TXN0947"/>
    <d v="2026-05-28T00:00:00"/>
    <s v="P020"/>
    <x v="14"/>
    <x v="2"/>
    <s v="PackRight Trading"/>
    <n v="238"/>
    <n v="155"/>
    <x v="38"/>
    <n v="176"/>
    <n v="4.66"/>
    <n v="820.16"/>
    <x v="1"/>
  </r>
  <r>
    <s v="TXN0948"/>
    <d v="2026-07-01T00:00:00"/>
    <s v="P019"/>
    <x v="4"/>
    <x v="3"/>
    <s v="LogiEquip"/>
    <n v="494"/>
    <n v="33"/>
    <x v="213"/>
    <n v="370"/>
    <n v="229.49"/>
    <n v="84911.3"/>
    <x v="1"/>
  </r>
  <r>
    <s v="TXN0949"/>
    <d v="2026-09-10T00:00:00"/>
    <s v="P016"/>
    <x v="18"/>
    <x v="1"/>
    <s v="Maju Industrial"/>
    <n v="433"/>
    <n v="46"/>
    <x v="59"/>
    <n v="323"/>
    <n v="147.37"/>
    <n v="47600.51"/>
    <x v="0"/>
  </r>
  <r>
    <s v="TXN0950"/>
    <d v="2026-01-01T00:00:00"/>
    <s v="P007"/>
    <x v="16"/>
    <x v="4"/>
    <s v="SafePro Supplies"/>
    <n v="80"/>
    <n v="6"/>
    <x v="96"/>
    <n v="27"/>
    <n v="255.15"/>
    <n v="6889.05"/>
    <x v="2"/>
  </r>
  <r>
    <s v="TXN0951"/>
    <d v="2026-08-01T00:00:00"/>
    <s v="P007"/>
    <x v="16"/>
    <x v="4"/>
    <s v="SafePro Supplies"/>
    <n v="231"/>
    <n v="11"/>
    <x v="149"/>
    <n v="157"/>
    <n v="244.12"/>
    <n v="38326.839999999997"/>
    <x v="1"/>
  </r>
  <r>
    <s v="TXN0952"/>
    <d v="2026-01-06T00:00:00"/>
    <s v="P007"/>
    <x v="16"/>
    <x v="4"/>
    <s v="SafePro Supplies"/>
    <n v="347"/>
    <n v="51"/>
    <x v="168"/>
    <n v="222"/>
    <n v="241.39"/>
    <n v="53588.58"/>
    <x v="2"/>
  </r>
  <r>
    <s v="TXN0953"/>
    <d v="2026-06-03T00:00:00"/>
    <s v="P010"/>
    <x v="12"/>
    <x v="1"/>
    <s v="TechParts Malaysia"/>
    <n v="279"/>
    <n v="140"/>
    <x v="103"/>
    <n v="337"/>
    <n v="11.73"/>
    <n v="3953.01"/>
    <x v="2"/>
  </r>
  <r>
    <s v="TXN0954"/>
    <d v="2026-06-24T00:00:00"/>
    <s v="P011"/>
    <x v="11"/>
    <x v="0"/>
    <s v="TechParts Malaysia"/>
    <n v="222"/>
    <n v="145"/>
    <x v="213"/>
    <n v="210"/>
    <n v="68.239999999999995"/>
    <n v="14330.4"/>
    <x v="2"/>
  </r>
  <r>
    <s v="TXN0955"/>
    <d v="2026-06-19T00:00:00"/>
    <s v="P007"/>
    <x v="16"/>
    <x v="4"/>
    <s v="SafePro Supplies"/>
    <n v="446"/>
    <n v="86"/>
    <x v="57"/>
    <n v="360"/>
    <n v="249.3"/>
    <n v="89748"/>
    <x v="0"/>
  </r>
  <r>
    <s v="TXN0956"/>
    <d v="2026-03-11T00:00:00"/>
    <s v="P002"/>
    <x v="15"/>
    <x v="4"/>
    <s v="SafePro Supplies"/>
    <n v="266"/>
    <n v="39"/>
    <x v="105"/>
    <n v="145"/>
    <n v="9.8699999999999992"/>
    <n v="1431.15"/>
    <x v="1"/>
  </r>
  <r>
    <s v="TXN0957"/>
    <d v="2026-08-25T00:00:00"/>
    <s v="P011"/>
    <x v="11"/>
    <x v="0"/>
    <s v="TechParts Malaysia"/>
    <n v="421"/>
    <n v="105"/>
    <x v="63"/>
    <n v="336"/>
    <n v="59.05"/>
    <n v="19840.8"/>
    <x v="1"/>
  </r>
  <r>
    <s v="TXN0958"/>
    <d v="2026-06-11T00:00:00"/>
    <s v="P010"/>
    <x v="12"/>
    <x v="1"/>
    <s v="TechParts Malaysia"/>
    <n v="304"/>
    <n v="137"/>
    <x v="181"/>
    <n v="437"/>
    <n v="10.73"/>
    <n v="4689.01"/>
    <x v="1"/>
  </r>
  <r>
    <s v="TXN0959"/>
    <d v="2026-07-01T00:00:00"/>
    <s v="P011"/>
    <x v="11"/>
    <x v="0"/>
    <s v="TechParts Malaysia"/>
    <n v="53"/>
    <n v="38"/>
    <x v="186"/>
    <n v="56"/>
    <n v="67.03"/>
    <n v="3753.68"/>
    <x v="0"/>
  </r>
  <r>
    <s v="TXN0960"/>
    <d v="2026-03-26T00:00:00"/>
    <s v="P013"/>
    <x v="19"/>
    <x v="3"/>
    <s v="LogiEquip"/>
    <n v="312"/>
    <n v="155"/>
    <x v="34"/>
    <n v="368"/>
    <n v="9.83"/>
    <n v="3617.44"/>
    <x v="2"/>
  </r>
  <r>
    <s v="TXN0961"/>
    <d v="2026-06-11T00:00:00"/>
    <s v="P010"/>
    <x v="12"/>
    <x v="1"/>
    <s v="TechParts Malaysia"/>
    <n v="383"/>
    <n v="8"/>
    <x v="68"/>
    <n v="322"/>
    <n v="11.1"/>
    <n v="3574.2"/>
    <x v="0"/>
  </r>
  <r>
    <s v="TXN0962"/>
    <d v="2026-07-10T00:00:00"/>
    <s v="P008"/>
    <x v="7"/>
    <x v="2"/>
    <s v="PackRight Trading"/>
    <n v="251"/>
    <n v="77"/>
    <x v="25"/>
    <n v="273"/>
    <n v="27.19"/>
    <n v="7422.87"/>
    <x v="2"/>
  </r>
  <r>
    <s v="TXN0963"/>
    <d v="2026-07-11T00:00:00"/>
    <s v="P004"/>
    <x v="1"/>
    <x v="1"/>
    <s v="Maju Industrial"/>
    <n v="421"/>
    <n v="9"/>
    <x v="203"/>
    <n v="231"/>
    <n v="61.74"/>
    <n v="14261.94"/>
    <x v="2"/>
  </r>
  <r>
    <s v="TXN0964"/>
    <d v="2026-09-17T00:00:00"/>
    <s v="P015"/>
    <x v="8"/>
    <x v="2"/>
    <s v="Johor Packaging"/>
    <n v="32"/>
    <n v="123"/>
    <x v="37"/>
    <n v="27"/>
    <n v="172.89"/>
    <n v="4668.03"/>
    <x v="0"/>
  </r>
  <r>
    <s v="TXN0965"/>
    <d v="2026-09-26T00:00:00"/>
    <s v="P016"/>
    <x v="18"/>
    <x v="1"/>
    <s v="Maju Industrial"/>
    <n v="178"/>
    <n v="83"/>
    <x v="117"/>
    <n v="225"/>
    <n v="160.59"/>
    <n v="36132.75"/>
    <x v="2"/>
  </r>
  <r>
    <s v="TXN0966"/>
    <d v="2026-03-09T00:00:00"/>
    <s v="P017"/>
    <x v="9"/>
    <x v="0"/>
    <s v="Mega Electric"/>
    <n v="125"/>
    <n v="9"/>
    <x v="212"/>
    <n v="17"/>
    <n v="62.91"/>
    <n v="1069.47"/>
    <x v="1"/>
  </r>
  <r>
    <s v="TXN0967"/>
    <d v="2026-01-03T00:00:00"/>
    <s v="P004"/>
    <x v="1"/>
    <x v="1"/>
    <s v="Maju Industrial"/>
    <n v="179"/>
    <n v="11"/>
    <x v="54"/>
    <n v="15"/>
    <n v="68.44"/>
    <n v="1026.5999999999999"/>
    <x v="2"/>
  </r>
  <r>
    <s v="TXN0968"/>
    <d v="2026-08-28T00:00:00"/>
    <s v="P011"/>
    <x v="11"/>
    <x v="0"/>
    <s v="TechParts Malaysia"/>
    <n v="475"/>
    <n v="11"/>
    <x v="201"/>
    <n v="460"/>
    <n v="63.77"/>
    <n v="29334.2"/>
    <x v="1"/>
  </r>
  <r>
    <s v="TXN0969"/>
    <d v="2026-01-12T00:00:00"/>
    <s v="P010"/>
    <x v="12"/>
    <x v="1"/>
    <s v="TechParts Malaysia"/>
    <n v="315"/>
    <n v="79"/>
    <x v="91"/>
    <n v="231"/>
    <n v="11.96"/>
    <n v="2762.76"/>
    <x v="0"/>
  </r>
  <r>
    <s v="TXN0970"/>
    <d v="2026-04-09T00:00:00"/>
    <s v="P007"/>
    <x v="16"/>
    <x v="4"/>
    <s v="SafePro Supplies"/>
    <n v="166"/>
    <n v="70"/>
    <x v="164"/>
    <n v="100"/>
    <n v="242.9"/>
    <n v="24290"/>
    <x v="0"/>
  </r>
  <r>
    <s v="TXN0971"/>
    <d v="2026-05-20T00:00:00"/>
    <s v="P004"/>
    <x v="1"/>
    <x v="1"/>
    <s v="Maju Industrial"/>
    <n v="96"/>
    <n v="40"/>
    <x v="64"/>
    <n v="66"/>
    <n v="60.83"/>
    <n v="4014.78"/>
    <x v="1"/>
  </r>
  <r>
    <s v="TXN0972"/>
    <d v="2026-09-21T00:00:00"/>
    <s v="P018"/>
    <x v="6"/>
    <x v="4"/>
    <s v="SafePro Supplies"/>
    <n v="72"/>
    <n v="52"/>
    <x v="68"/>
    <n v="55"/>
    <n v="162.25"/>
    <n v="8923.75"/>
    <x v="0"/>
  </r>
  <r>
    <s v="TXN0973"/>
    <d v="2026-03-14T00:00:00"/>
    <s v="P009"/>
    <x v="2"/>
    <x v="2"/>
    <s v="Johor Packaging"/>
    <n v="380"/>
    <n v="72"/>
    <x v="132"/>
    <n v="306"/>
    <n v="114.98"/>
    <n v="35183.879999999997"/>
    <x v="2"/>
  </r>
  <r>
    <s v="TXN0974"/>
    <d v="2026-06-23T00:00:00"/>
    <s v="P010"/>
    <x v="12"/>
    <x v="1"/>
    <s v="TechParts Malaysia"/>
    <n v="296"/>
    <n v="113"/>
    <x v="134"/>
    <n v="397"/>
    <n v="10.59"/>
    <n v="4204.2299999999996"/>
    <x v="0"/>
  </r>
  <r>
    <s v="TXN0975"/>
    <d v="2026-02-24T00:00:00"/>
    <s v="P002"/>
    <x v="15"/>
    <x v="4"/>
    <s v="SafePro Supplies"/>
    <n v="216"/>
    <n v="13"/>
    <x v="195"/>
    <n v="207"/>
    <n v="9.81"/>
    <n v="2030.67"/>
    <x v="2"/>
  </r>
  <r>
    <s v="TXN0976"/>
    <d v="2026-08-17T00:00:00"/>
    <s v="P020"/>
    <x v="14"/>
    <x v="2"/>
    <s v="PackRight Trading"/>
    <n v="335"/>
    <n v="91"/>
    <x v="131"/>
    <n v="347"/>
    <n v="4.67"/>
    <n v="1620.49"/>
    <x v="2"/>
  </r>
  <r>
    <s v="TXN0977"/>
    <d v="2026-02-10T00:00:00"/>
    <s v="P018"/>
    <x v="6"/>
    <x v="4"/>
    <s v="SafePro Supplies"/>
    <n v="492"/>
    <n v="119"/>
    <x v="39"/>
    <n v="466"/>
    <n v="156.43"/>
    <n v="72896.38"/>
    <x v="1"/>
  </r>
  <r>
    <s v="TXN0978"/>
    <d v="2026-02-19T00:00:00"/>
    <s v="P015"/>
    <x v="8"/>
    <x v="2"/>
    <s v="Johor Packaging"/>
    <n v="253"/>
    <n v="79"/>
    <x v="54"/>
    <n v="157"/>
    <n v="187.25"/>
    <n v="29398.25"/>
    <x v="0"/>
  </r>
  <r>
    <s v="TXN0979"/>
    <d v="2026-04-29T00:00:00"/>
    <s v="P016"/>
    <x v="18"/>
    <x v="1"/>
    <s v="Maju Industrial"/>
    <n v="134"/>
    <n v="36"/>
    <x v="213"/>
    <n v="13"/>
    <n v="147.99"/>
    <n v="1923.87"/>
    <x v="0"/>
  </r>
  <r>
    <s v="TXN0980"/>
    <d v="2026-04-04T00:00:00"/>
    <s v="P013"/>
    <x v="19"/>
    <x v="3"/>
    <s v="LogiEquip"/>
    <n v="378"/>
    <n v="170"/>
    <x v="126"/>
    <n v="464"/>
    <n v="10.83"/>
    <n v="5025.12"/>
    <x v="0"/>
  </r>
  <r>
    <s v="TXN0981"/>
    <d v="2026-09-07T00:00:00"/>
    <s v="P015"/>
    <x v="8"/>
    <x v="2"/>
    <s v="Johor Packaging"/>
    <n v="35"/>
    <n v="16"/>
    <x v="210"/>
    <n v="21"/>
    <n v="171.68"/>
    <n v="3605.28"/>
    <x v="0"/>
  </r>
  <r>
    <s v="TXN0982"/>
    <d v="2026-03-29T00:00:00"/>
    <s v="P015"/>
    <x v="8"/>
    <x v="2"/>
    <s v="Johor Packaging"/>
    <n v="164"/>
    <n v="89"/>
    <x v="99"/>
    <n v="99"/>
    <n v="185.2"/>
    <n v="18334.8"/>
    <x v="1"/>
  </r>
  <r>
    <s v="TXN0983"/>
    <d v="2026-07-27T00:00:00"/>
    <s v="P004"/>
    <x v="1"/>
    <x v="1"/>
    <s v="Maju Industrial"/>
    <n v="438"/>
    <n v="27"/>
    <x v="72"/>
    <n v="382"/>
    <n v="65.41"/>
    <n v="24986.62"/>
    <x v="2"/>
  </r>
  <r>
    <s v="TXN0984"/>
    <d v="2026-09-30T00:00:00"/>
    <s v="P010"/>
    <x v="12"/>
    <x v="1"/>
    <s v="TechParts Malaysia"/>
    <n v="256"/>
    <n v="102"/>
    <x v="176"/>
    <n v="207"/>
    <n v="11.1"/>
    <n v="2297.6999999999998"/>
    <x v="1"/>
  </r>
  <r>
    <s v="TXN0985"/>
    <d v="2026-03-23T00:00:00"/>
    <s v="P008"/>
    <x v="7"/>
    <x v="2"/>
    <s v="PackRight Trading"/>
    <n v="266"/>
    <n v="98"/>
    <x v="23"/>
    <n v="348"/>
    <n v="26.39"/>
    <n v="9183.7199999999993"/>
    <x v="1"/>
  </r>
  <r>
    <s v="TXN0986"/>
    <d v="2026-08-09T00:00:00"/>
    <s v="P019"/>
    <x v="4"/>
    <x v="3"/>
    <s v="LogiEquip"/>
    <n v="421"/>
    <n v="111"/>
    <x v="39"/>
    <n v="387"/>
    <n v="237.66"/>
    <n v="91974.42"/>
    <x v="1"/>
  </r>
  <r>
    <s v="TXN0987"/>
    <d v="2026-03-30T00:00:00"/>
    <s v="P008"/>
    <x v="7"/>
    <x v="2"/>
    <s v="PackRight Trading"/>
    <n v="359"/>
    <n v="171"/>
    <x v="65"/>
    <n v="511"/>
    <n v="28.12"/>
    <n v="14369.32"/>
    <x v="1"/>
  </r>
  <r>
    <s v="TXN0988"/>
    <d v="2026-09-07T00:00:00"/>
    <s v="P019"/>
    <x v="4"/>
    <x v="3"/>
    <s v="LogiEquip"/>
    <n v="78"/>
    <n v="151"/>
    <x v="13"/>
    <n v="77"/>
    <n v="225.86"/>
    <n v="17391.22"/>
    <x v="1"/>
  </r>
  <r>
    <s v="TXN0989"/>
    <d v="2026-08-16T00:00:00"/>
    <s v="P004"/>
    <x v="1"/>
    <x v="1"/>
    <s v="Maju Industrial"/>
    <n v="110"/>
    <n v="78"/>
    <x v="86"/>
    <n v="85"/>
    <n v="60.37"/>
    <n v="5131.45"/>
    <x v="2"/>
  </r>
  <r>
    <s v="TXN0990"/>
    <d v="2026-07-14T00:00:00"/>
    <s v="P020"/>
    <x v="14"/>
    <x v="2"/>
    <s v="PackRight Trading"/>
    <n v="187"/>
    <n v="126"/>
    <x v="85"/>
    <n v="148"/>
    <n v="4.92"/>
    <n v="728.16"/>
    <x v="2"/>
  </r>
  <r>
    <s v="TXN0991"/>
    <d v="2026-03-13T00:00:00"/>
    <s v="P007"/>
    <x v="16"/>
    <x v="4"/>
    <s v="SafePro Supplies"/>
    <n v="474"/>
    <n v="148"/>
    <x v="21"/>
    <n v="429"/>
    <n v="255.58"/>
    <n v="109643.82"/>
    <x v="2"/>
  </r>
  <r>
    <s v="TXN0992"/>
    <d v="2026-03-18T00:00:00"/>
    <s v="P005"/>
    <x v="13"/>
    <x v="0"/>
    <s v="Mega Electric"/>
    <n v="251"/>
    <n v="136"/>
    <x v="151"/>
    <n v="313"/>
    <n v="203.36"/>
    <n v="63651.68"/>
    <x v="1"/>
  </r>
  <r>
    <s v="TXN0993"/>
    <d v="2026-04-11T00:00:00"/>
    <s v="P015"/>
    <x v="8"/>
    <x v="2"/>
    <s v="Johor Packaging"/>
    <n v="125"/>
    <n v="174"/>
    <x v="133"/>
    <n v="218"/>
    <n v="177.15"/>
    <n v="38618.699999999997"/>
    <x v="1"/>
  </r>
  <r>
    <s v="TXN0994"/>
    <d v="2026-08-11T00:00:00"/>
    <s v="P010"/>
    <x v="12"/>
    <x v="1"/>
    <s v="TechParts Malaysia"/>
    <n v="387"/>
    <n v="88"/>
    <x v="195"/>
    <n v="453"/>
    <n v="11.4"/>
    <n v="5164.2"/>
    <x v="1"/>
  </r>
  <r>
    <s v="TXN0995"/>
    <d v="2026-07-26T00:00:00"/>
    <s v="P017"/>
    <x v="9"/>
    <x v="0"/>
    <s v="Mega Electric"/>
    <n v="453"/>
    <n v="32"/>
    <x v="205"/>
    <n v="267"/>
    <n v="61.95"/>
    <n v="16540.650000000001"/>
    <x v="0"/>
  </r>
  <r>
    <s v="TXN0996"/>
    <d v="2026-01-28T00:00:00"/>
    <s v="P018"/>
    <x v="6"/>
    <x v="4"/>
    <s v="SafePro Supplies"/>
    <n v="20"/>
    <n v="180"/>
    <x v="166"/>
    <n v="57"/>
    <n v="174.76"/>
    <n v="9961.32"/>
    <x v="0"/>
  </r>
  <r>
    <s v="TXN0997"/>
    <d v="2026-05-25T00:00:00"/>
    <s v="P004"/>
    <x v="1"/>
    <x v="1"/>
    <s v="Maju Industrial"/>
    <n v="463"/>
    <n v="7"/>
    <x v="114"/>
    <n v="410"/>
    <n v="64.12"/>
    <n v="26289.200000000001"/>
    <x v="1"/>
  </r>
  <r>
    <s v="TXN0998"/>
    <d v="2026-06-12T00:00:00"/>
    <s v="P013"/>
    <x v="19"/>
    <x v="3"/>
    <s v="LogiEquip"/>
    <n v="384"/>
    <n v="97"/>
    <x v="86"/>
    <n v="378"/>
    <n v="10.15"/>
    <n v="3836.7"/>
    <x v="1"/>
  </r>
  <r>
    <s v="TXN0999"/>
    <d v="2026-03-30T00:00:00"/>
    <s v="P007"/>
    <x v="16"/>
    <x v="4"/>
    <s v="SafePro Supplies"/>
    <n v="263"/>
    <n v="35"/>
    <x v="111"/>
    <n v="250"/>
    <n v="252.35"/>
    <n v="63087.5"/>
    <x v="0"/>
  </r>
  <r>
    <s v="TXN1000"/>
    <d v="2026-03-20T00:00:00"/>
    <s v="P014"/>
    <x v="10"/>
    <x v="3"/>
    <s v="LogiEquip"/>
    <n v="167"/>
    <n v="171"/>
    <x v="90"/>
    <n v="306"/>
    <n v="54.68"/>
    <n v="16732.08000000000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A17EFC-165A-4151-A5EA-D2D11A830A3C}"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L7" firstHeaderRow="1" firstDataRow="1" firstDataCol="1"/>
  <pivotFields count="13">
    <pivotField showAll="0"/>
    <pivotField numFmtId="164" showAll="0"/>
    <pivotField showAll="0"/>
    <pivotField axis="axisRow" showAll="0" measureFilter="1" sortType="descending">
      <items count="21">
        <item x="8"/>
        <item x="0"/>
        <item x="9"/>
        <item x="10"/>
        <item x="1"/>
        <item x="17"/>
        <item x="11"/>
        <item x="13"/>
        <item x="12"/>
        <item x="18"/>
        <item x="3"/>
        <item x="14"/>
        <item x="2"/>
        <item x="19"/>
        <item x="15"/>
        <item x="16"/>
        <item x="6"/>
        <item x="5"/>
        <item x="4"/>
        <item x="7"/>
        <item t="default"/>
      </items>
      <autoSortScope>
        <pivotArea dataOnly="0" outline="0" fieldPosition="0">
          <references count="1">
            <reference field="4294967294" count="1" selected="0">
              <x v="0"/>
            </reference>
          </references>
        </pivotArea>
      </autoSortScope>
    </pivotField>
    <pivotField showAll="0">
      <items count="6">
        <item x="0"/>
        <item x="3"/>
        <item x="1"/>
        <item x="2"/>
        <item x="4"/>
        <item t="default"/>
      </items>
    </pivotField>
    <pivotField showAll="0"/>
    <pivotField showAll="0"/>
    <pivotField showAll="0"/>
    <pivotField dataField="1" showAll="0"/>
    <pivotField showAll="0"/>
    <pivotField numFmtId="4" showAll="0"/>
    <pivotField numFmtId="4" showAll="0"/>
    <pivotField showAll="0">
      <items count="4">
        <item x="2"/>
        <item x="0"/>
        <item x="1"/>
        <item t="default"/>
      </items>
    </pivotField>
  </pivotFields>
  <rowFields count="1">
    <field x="3"/>
  </rowFields>
  <rowItems count="6">
    <i>
      <x v="8"/>
    </i>
    <i>
      <x v="19"/>
    </i>
    <i>
      <x/>
    </i>
    <i>
      <x v="16"/>
    </i>
    <i>
      <x v="7"/>
    </i>
    <i t="grand">
      <x/>
    </i>
  </rowItems>
  <colItems count="1">
    <i/>
  </colItems>
  <dataFields count="1">
    <dataField name="Sum of Quantity_Issued"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F6EF6D-63BE-41DD-BF2B-BF73E846249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H9" firstHeaderRow="1" firstDataRow="1" firstDataCol="1"/>
  <pivotFields count="13">
    <pivotField showAll="0"/>
    <pivotField numFmtId="164" showAll="0"/>
    <pivotField showAll="0"/>
    <pivotField showAll="0"/>
    <pivotField axis="axisRow"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items count="220">
        <item x="193"/>
        <item x="24"/>
        <item x="41"/>
        <item x="113"/>
        <item x="181"/>
        <item x="75"/>
        <item x="70"/>
        <item x="116"/>
        <item x="124"/>
        <item x="199"/>
        <item x="48"/>
        <item x="4"/>
        <item x="134"/>
        <item x="148"/>
        <item x="12"/>
        <item x="94"/>
        <item x="23"/>
        <item x="141"/>
        <item x="200"/>
        <item x="65"/>
        <item x="66"/>
        <item x="46"/>
        <item x="195"/>
        <item x="101"/>
        <item x="215"/>
        <item x="112"/>
        <item x="201"/>
        <item x="43"/>
        <item x="135"/>
        <item x="93"/>
        <item x="210"/>
        <item x="158"/>
        <item x="90"/>
        <item x="127"/>
        <item x="209"/>
        <item x="186"/>
        <item x="117"/>
        <item x="60"/>
        <item x="47"/>
        <item x="0"/>
        <item x="15"/>
        <item x="7"/>
        <item x="160"/>
        <item x="180"/>
        <item x="167"/>
        <item x="51"/>
        <item x="146"/>
        <item x="152"/>
        <item x="111"/>
        <item x="162"/>
        <item x="118"/>
        <item x="185"/>
        <item x="67"/>
        <item x="6"/>
        <item x="26"/>
        <item x="25"/>
        <item x="128"/>
        <item x="58"/>
        <item x="129"/>
        <item x="96"/>
        <item x="114"/>
        <item x="18"/>
        <item x="165"/>
        <item x="11"/>
        <item x="73"/>
        <item x="197"/>
        <item x="207"/>
        <item x="95"/>
        <item x="182"/>
        <item x="68"/>
        <item x="64"/>
        <item x="82"/>
        <item x="110"/>
        <item x="106"/>
        <item x="151"/>
        <item x="194"/>
        <item x="178"/>
        <item x="55"/>
        <item x="136"/>
        <item x="131"/>
        <item x="89"/>
        <item x="133"/>
        <item x="103"/>
        <item x="72"/>
        <item x="126"/>
        <item x="149"/>
        <item x="29"/>
        <item x="84"/>
        <item x="52"/>
        <item x="50"/>
        <item x="142"/>
        <item x="1"/>
        <item x="218"/>
        <item x="122"/>
        <item x="123"/>
        <item x="22"/>
        <item x="177"/>
        <item x="5"/>
        <item x="109"/>
        <item x="34"/>
        <item x="189"/>
        <item x="119"/>
        <item x="9"/>
        <item x="86"/>
        <item x="204"/>
        <item x="28"/>
        <item x="108"/>
        <item x="147"/>
        <item x="145"/>
        <item x="71"/>
        <item x="159"/>
        <item x="138"/>
        <item x="184"/>
        <item x="31"/>
        <item x="30"/>
        <item x="161"/>
        <item x="88"/>
        <item x="212"/>
        <item x="104"/>
        <item x="98"/>
        <item x="92"/>
        <item x="130"/>
        <item x="171"/>
        <item x="33"/>
        <item x="216"/>
        <item x="79"/>
        <item x="83"/>
        <item x="10"/>
        <item x="37"/>
        <item x="16"/>
        <item x="196"/>
        <item x="154"/>
        <item x="61"/>
        <item x="206"/>
        <item x="173"/>
        <item x="87"/>
        <item x="164"/>
        <item x="2"/>
        <item x="36"/>
        <item x="97"/>
        <item x="20"/>
        <item x="42"/>
        <item x="144"/>
        <item x="166"/>
        <item x="76"/>
        <item x="39"/>
        <item x="132"/>
        <item x="53"/>
        <item x="78"/>
        <item x="40"/>
        <item x="191"/>
        <item x="176"/>
        <item x="13"/>
        <item x="17"/>
        <item x="99"/>
        <item x="77"/>
        <item x="59"/>
        <item x="213"/>
        <item x="3"/>
        <item x="105"/>
        <item x="153"/>
        <item x="140"/>
        <item x="91"/>
        <item x="125"/>
        <item x="85"/>
        <item x="74"/>
        <item x="208"/>
        <item x="198"/>
        <item x="35"/>
        <item x="49"/>
        <item x="211"/>
        <item x="57"/>
        <item x="143"/>
        <item x="14"/>
        <item x="54"/>
        <item x="168"/>
        <item x="192"/>
        <item x="150"/>
        <item x="187"/>
        <item x="137"/>
        <item x="139"/>
        <item x="183"/>
        <item x="44"/>
        <item x="202"/>
        <item x="179"/>
        <item x="155"/>
        <item x="80"/>
        <item x="214"/>
        <item x="163"/>
        <item x="63"/>
        <item x="175"/>
        <item x="217"/>
        <item x="21"/>
        <item x="115"/>
        <item x="157"/>
        <item x="172"/>
        <item x="170"/>
        <item x="120"/>
        <item x="203"/>
        <item x="56"/>
        <item x="156"/>
        <item x="188"/>
        <item x="69"/>
        <item x="62"/>
        <item x="27"/>
        <item x="174"/>
        <item x="19"/>
        <item x="169"/>
        <item x="100"/>
        <item x="81"/>
        <item x="121"/>
        <item x="107"/>
        <item x="32"/>
        <item x="8"/>
        <item x="45"/>
        <item x="38"/>
        <item x="205"/>
        <item x="102"/>
        <item x="190"/>
        <item t="default"/>
      </items>
    </pivotField>
    <pivotField showAll="0"/>
    <pivotField numFmtId="4" showAll="0"/>
    <pivotField numFmtId="4" showAll="0"/>
    <pivotField showAll="0">
      <items count="4">
        <item x="2"/>
        <item x="0"/>
        <item x="1"/>
        <item t="default"/>
      </items>
    </pivotField>
  </pivotFields>
  <rowFields count="1">
    <field x="4"/>
  </rowFields>
  <rowItems count="6">
    <i>
      <x v="3"/>
    </i>
    <i>
      <x/>
    </i>
    <i>
      <x v="2"/>
    </i>
    <i>
      <x v="4"/>
    </i>
    <i>
      <x v="1"/>
    </i>
    <i t="grand">
      <x/>
    </i>
  </rowItems>
  <colItems count="1">
    <i/>
  </colItems>
  <dataFields count="1">
    <dataField name="Sum of Quantity_Issued"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413BB6-50E3-4D1C-81EF-CB30481988E6}"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7" firstHeaderRow="1" firstDataRow="1" firstDataCol="1"/>
  <pivotFields count="13">
    <pivotField showAll="0"/>
    <pivotField numFmtId="164" showAll="0"/>
    <pivotField showAll="0"/>
    <pivotField showAll="0"/>
    <pivotField axis="axisRow" showAll="0" sortType="descending">
      <items count="6">
        <item x="0"/>
        <item x="3"/>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4" showAll="0"/>
    <pivotField dataField="1" numFmtId="4" showAll="0"/>
    <pivotField showAll="0">
      <items count="4">
        <item x="2"/>
        <item x="0"/>
        <item x="1"/>
        <item t="default"/>
      </items>
    </pivotField>
  </pivotFields>
  <rowFields count="1">
    <field x="4"/>
  </rowFields>
  <rowItems count="6">
    <i>
      <x/>
    </i>
    <i>
      <x v="3"/>
    </i>
    <i>
      <x v="4"/>
    </i>
    <i>
      <x v="2"/>
    </i>
    <i>
      <x v="1"/>
    </i>
    <i t="grand">
      <x/>
    </i>
  </rowItems>
  <colItems count="1">
    <i/>
  </colItems>
  <dataFields count="1">
    <dataField name="Sum of Inventory_Value_RM" fld="11" baseField="0" baseItem="0" numFmtId="4"/>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E3CDEB-B066-43E7-BCD7-B333AF8CF05D}" sourceName="Category">
  <pivotTables>
    <pivotTable tabId="4" name="PivotTable2"/>
    <pivotTable tabId="4" name="PivotTable3"/>
    <pivotTable tabId="4" name="PivotTable4"/>
  </pivotTables>
  <data>
    <tabular pivotCacheId="827537985">
      <items count="5">
        <i x="0" s="1"/>
        <i x="3"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8BEE8771-8B7C-4F07-BA9F-A086AEE6DB9A}" sourceName="Warehouse">
  <pivotTables>
    <pivotTable tabId="4" name="PivotTable2"/>
    <pivotTable tabId="4" name="PivotTable3"/>
    <pivotTable tabId="4" name="PivotTable4"/>
  </pivotTables>
  <data>
    <tabular pivotCacheId="82753798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D9506C1-05E8-4170-977C-C089C31C51DA}" cache="Slicer_Category" caption="Category" rowHeight="241300"/>
  <slicer name="Warehouse" xr10:uid="{CAD29C01-1F08-4C91-84D3-DDAC42A341A8}" cache="Slicer_Warehouse" caption="Warehous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ehouseRawData" displayName="WarehouseRawData" ref="A1:M1000" totalsRowShown="0">
  <autoFilter ref="A1:M1000" xr:uid="{00000000-000C-0000-FFFF-FFFF00000000}"/>
  <tableColumns count="13">
    <tableColumn id="1" xr3:uid="{00000000-0010-0000-0000-000001000000}" name="Transaction_ID"/>
    <tableColumn id="2" xr3:uid="{00000000-0010-0000-0000-000002000000}" name="Date"/>
    <tableColumn id="3" xr3:uid="{00000000-0010-0000-0000-000003000000}" name="Product_ID"/>
    <tableColumn id="4" xr3:uid="{00000000-0010-0000-0000-000004000000}" name="Product_Name"/>
    <tableColumn id="5" xr3:uid="{00000000-0010-0000-0000-000005000000}" name="Category"/>
    <tableColumn id="6" xr3:uid="{00000000-0010-0000-0000-000006000000}" name="Supplier"/>
    <tableColumn id="7" xr3:uid="{00000000-0010-0000-0000-000007000000}" name="Opening_Stock"/>
    <tableColumn id="8" xr3:uid="{00000000-0010-0000-0000-000008000000}" name="Quantity_Received"/>
    <tableColumn id="9" xr3:uid="{00000000-0010-0000-0000-000009000000}" name="Quantity_Issued"/>
    <tableColumn id="10" xr3:uid="{00000000-0010-0000-0000-00000A000000}" name="Closing_Stock"/>
    <tableColumn id="11" xr3:uid="{00000000-0010-0000-0000-00000B000000}" name="Unit_Cost_RM"/>
    <tableColumn id="12" xr3:uid="{00000000-0010-0000-0000-00000C000000}" name="Inventory_Value_RM"/>
    <tableColumn id="13" xr3:uid="{00000000-0010-0000-0000-00000D000000}" name="Warehous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election activeCell="B17" sqref="B17"/>
    </sheetView>
  </sheetViews>
  <sheetFormatPr defaultRowHeight="14.25"/>
  <cols>
    <col min="1" max="1" width="22" customWidth="1"/>
    <col min="2" max="2" width="85" customWidth="1"/>
  </cols>
  <sheetData>
    <row r="1" spans="1:4" ht="20.25">
      <c r="A1" s="7" t="s">
        <v>1070</v>
      </c>
      <c r="B1" s="8"/>
      <c r="C1" s="8"/>
      <c r="D1" s="8"/>
    </row>
    <row r="3" spans="1:4" ht="32.1" customHeight="1">
      <c r="A3" s="5" t="s">
        <v>1071</v>
      </c>
      <c r="B3" s="6" t="s">
        <v>1072</v>
      </c>
    </row>
    <row r="4" spans="1:4" ht="32.1" customHeight="1">
      <c r="A4" s="5" t="s">
        <v>1073</v>
      </c>
      <c r="B4" s="6" t="s">
        <v>1074</v>
      </c>
    </row>
    <row r="5" spans="1:4" ht="32.1" customHeight="1">
      <c r="A5" s="5" t="s">
        <v>1075</v>
      </c>
      <c r="B5" s="6" t="s">
        <v>1076</v>
      </c>
    </row>
    <row r="6" spans="1:4" ht="32.1" customHeight="1">
      <c r="A6" s="5" t="s">
        <v>1077</v>
      </c>
      <c r="B6" s="6" t="s">
        <v>1078</v>
      </c>
    </row>
    <row r="7" spans="1:4" ht="32.1" customHeight="1">
      <c r="A7" s="5" t="s">
        <v>1079</v>
      </c>
      <c r="B7" s="6" t="s">
        <v>1080</v>
      </c>
    </row>
    <row r="8" spans="1:4" ht="32.1" customHeight="1">
      <c r="A8" s="5" t="s">
        <v>1081</v>
      </c>
      <c r="B8" s="6" t="s">
        <v>1082</v>
      </c>
    </row>
  </sheetData>
  <mergeCells count="1">
    <mergeCell ref="A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topLeftCell="B929" workbookViewId="0">
      <selection activeCell="F690" sqref="F690"/>
    </sheetView>
  </sheetViews>
  <sheetFormatPr defaultRowHeight="14.25"/>
  <cols>
    <col min="1" max="1" width="15" customWidth="1"/>
    <col min="2" max="2" width="13" customWidth="1"/>
    <col min="3" max="3" width="12" customWidth="1"/>
    <col min="4" max="4" width="24" customWidth="1"/>
    <col min="5" max="5" width="20" customWidth="1"/>
    <col min="6" max="6" width="23" customWidth="1"/>
    <col min="7" max="10" width="17" customWidth="1"/>
    <col min="11" max="12" width="20" customWidth="1"/>
    <col min="13" max="13" width="22" customWidth="1"/>
  </cols>
  <sheetData>
    <row r="1" spans="1:13" ht="15">
      <c r="A1" s="4" t="s">
        <v>0</v>
      </c>
      <c r="B1" s="4" t="s">
        <v>1</v>
      </c>
      <c r="C1" s="4" t="s">
        <v>2</v>
      </c>
      <c r="D1" s="4" t="s">
        <v>3</v>
      </c>
      <c r="E1" s="4" t="s">
        <v>4</v>
      </c>
      <c r="F1" s="4" t="s">
        <v>5</v>
      </c>
      <c r="G1" s="4" t="s">
        <v>6</v>
      </c>
      <c r="H1" s="4" t="s">
        <v>7</v>
      </c>
      <c r="I1" s="4" t="s">
        <v>8</v>
      </c>
      <c r="J1" s="4" t="s">
        <v>9</v>
      </c>
      <c r="K1" s="4" t="s">
        <v>10</v>
      </c>
      <c r="L1" s="4" t="s">
        <v>11</v>
      </c>
      <c r="M1" s="4" t="s">
        <v>12</v>
      </c>
    </row>
    <row r="2" spans="1:13">
      <c r="A2" t="s">
        <v>13</v>
      </c>
      <c r="B2" s="2">
        <v>46239</v>
      </c>
      <c r="C2" t="s">
        <v>14</v>
      </c>
      <c r="D2" t="s">
        <v>15</v>
      </c>
      <c r="E2" t="s">
        <v>16</v>
      </c>
      <c r="F2" t="s">
        <v>17</v>
      </c>
      <c r="G2">
        <v>194</v>
      </c>
      <c r="H2">
        <v>71</v>
      </c>
      <c r="I2">
        <v>39</v>
      </c>
      <c r="J2">
        <v>226</v>
      </c>
      <c r="K2" s="3">
        <v>181.77</v>
      </c>
      <c r="L2" s="3">
        <v>41080.019999999997</v>
      </c>
      <c r="M2" t="s">
        <v>18</v>
      </c>
    </row>
    <row r="3" spans="1:13">
      <c r="A3" t="s">
        <v>19</v>
      </c>
      <c r="B3" s="2">
        <v>46070</v>
      </c>
      <c r="C3" t="s">
        <v>20</v>
      </c>
      <c r="D3" t="s">
        <v>21</v>
      </c>
      <c r="E3" t="s">
        <v>22</v>
      </c>
      <c r="F3" t="s">
        <v>23</v>
      </c>
      <c r="G3">
        <v>214</v>
      </c>
      <c r="H3">
        <v>24</v>
      </c>
      <c r="I3">
        <v>91</v>
      </c>
      <c r="J3">
        <v>147</v>
      </c>
      <c r="K3" s="3">
        <v>68.430000000000007</v>
      </c>
      <c r="L3" s="3">
        <v>10059.209999999999</v>
      </c>
      <c r="M3" t="s">
        <v>24</v>
      </c>
    </row>
    <row r="4" spans="1:13">
      <c r="A4" t="s">
        <v>25</v>
      </c>
      <c r="B4" s="2">
        <v>46045</v>
      </c>
      <c r="C4" t="s">
        <v>26</v>
      </c>
      <c r="D4" t="s">
        <v>27</v>
      </c>
      <c r="E4" t="s">
        <v>28</v>
      </c>
      <c r="F4" t="s">
        <v>29</v>
      </c>
      <c r="G4">
        <v>393</v>
      </c>
      <c r="H4">
        <v>117</v>
      </c>
      <c r="I4">
        <v>137</v>
      </c>
      <c r="J4">
        <v>373</v>
      </c>
      <c r="K4" s="3">
        <v>112.68</v>
      </c>
      <c r="L4" s="3">
        <v>42029.64</v>
      </c>
      <c r="M4" t="s">
        <v>18</v>
      </c>
    </row>
    <row r="5" spans="1:13">
      <c r="A5" t="s">
        <v>30</v>
      </c>
      <c r="B5" s="2">
        <v>46173</v>
      </c>
      <c r="C5" t="s">
        <v>31</v>
      </c>
      <c r="D5" t="s">
        <v>32</v>
      </c>
      <c r="E5" t="s">
        <v>28</v>
      </c>
      <c r="F5" t="s">
        <v>33</v>
      </c>
      <c r="G5">
        <v>444</v>
      </c>
      <c r="H5">
        <v>160</v>
      </c>
      <c r="I5">
        <v>158</v>
      </c>
      <c r="J5">
        <v>446</v>
      </c>
      <c r="K5" s="3">
        <v>84.07</v>
      </c>
      <c r="L5" s="3">
        <v>37495.22</v>
      </c>
      <c r="M5" t="s">
        <v>18</v>
      </c>
    </row>
    <row r="6" spans="1:13">
      <c r="A6" t="s">
        <v>34</v>
      </c>
      <c r="B6" s="2">
        <v>46121</v>
      </c>
      <c r="C6" t="s">
        <v>35</v>
      </c>
      <c r="D6" t="s">
        <v>36</v>
      </c>
      <c r="E6" t="s">
        <v>37</v>
      </c>
      <c r="F6" t="s">
        <v>38</v>
      </c>
      <c r="G6">
        <v>380</v>
      </c>
      <c r="H6">
        <v>17</v>
      </c>
      <c r="I6">
        <v>11</v>
      </c>
      <c r="J6">
        <v>386</v>
      </c>
      <c r="K6" s="3">
        <v>233.07</v>
      </c>
      <c r="L6" s="3">
        <v>89965.02</v>
      </c>
      <c r="M6" t="s">
        <v>18</v>
      </c>
    </row>
    <row r="7" spans="1:13">
      <c r="A7" t="s">
        <v>39</v>
      </c>
      <c r="B7" s="2">
        <v>46142</v>
      </c>
      <c r="C7" t="s">
        <v>31</v>
      </c>
      <c r="D7" t="s">
        <v>32</v>
      </c>
      <c r="E7" t="s">
        <v>28</v>
      </c>
      <c r="F7" t="s">
        <v>33</v>
      </c>
      <c r="G7">
        <v>463</v>
      </c>
      <c r="H7">
        <v>25</v>
      </c>
      <c r="I7">
        <v>97</v>
      </c>
      <c r="J7">
        <v>391</v>
      </c>
      <c r="K7" s="3">
        <v>76.37</v>
      </c>
      <c r="L7" s="3">
        <v>29860.67</v>
      </c>
      <c r="M7" t="s">
        <v>24</v>
      </c>
    </row>
    <row r="8" spans="1:13">
      <c r="A8" t="s">
        <v>40</v>
      </c>
      <c r="B8" s="2">
        <v>46106</v>
      </c>
      <c r="C8" t="s">
        <v>41</v>
      </c>
      <c r="D8" t="s">
        <v>42</v>
      </c>
      <c r="E8" t="s">
        <v>43</v>
      </c>
      <c r="F8" t="s">
        <v>44</v>
      </c>
      <c r="G8">
        <v>209</v>
      </c>
      <c r="H8">
        <v>90</v>
      </c>
      <c r="I8">
        <v>53</v>
      </c>
      <c r="J8">
        <v>246</v>
      </c>
      <c r="K8" s="3">
        <v>146.88</v>
      </c>
      <c r="L8" s="3">
        <v>36132.480000000003</v>
      </c>
      <c r="M8" t="s">
        <v>24</v>
      </c>
    </row>
    <row r="9" spans="1:13">
      <c r="A9" t="s">
        <v>45</v>
      </c>
      <c r="B9" s="2">
        <v>46110</v>
      </c>
      <c r="C9" t="s">
        <v>31</v>
      </c>
      <c r="D9" t="s">
        <v>32</v>
      </c>
      <c r="E9" t="s">
        <v>28</v>
      </c>
      <c r="F9" t="s">
        <v>33</v>
      </c>
      <c r="G9">
        <v>293</v>
      </c>
      <c r="H9">
        <v>62</v>
      </c>
      <c r="I9">
        <v>41</v>
      </c>
      <c r="J9">
        <v>314</v>
      </c>
      <c r="K9" s="3">
        <v>78.7</v>
      </c>
      <c r="L9" s="3">
        <v>24711.8</v>
      </c>
      <c r="M9" t="s">
        <v>18</v>
      </c>
    </row>
    <row r="10" spans="1:13">
      <c r="A10" t="s">
        <v>46</v>
      </c>
      <c r="B10" s="2">
        <v>46135</v>
      </c>
      <c r="C10" t="s">
        <v>47</v>
      </c>
      <c r="D10" t="s">
        <v>48</v>
      </c>
      <c r="E10" t="s">
        <v>43</v>
      </c>
      <c r="F10" t="s">
        <v>44</v>
      </c>
      <c r="G10">
        <v>370</v>
      </c>
      <c r="H10">
        <v>83</v>
      </c>
      <c r="I10">
        <v>215</v>
      </c>
      <c r="J10">
        <v>238</v>
      </c>
      <c r="K10" s="3">
        <v>173.36</v>
      </c>
      <c r="L10" s="3">
        <v>41259.68</v>
      </c>
      <c r="M10" t="s">
        <v>49</v>
      </c>
    </row>
    <row r="11" spans="1:13">
      <c r="A11" t="s">
        <v>50</v>
      </c>
      <c r="B11" s="2">
        <v>46039</v>
      </c>
      <c r="C11" t="s">
        <v>51</v>
      </c>
      <c r="D11" t="s">
        <v>52</v>
      </c>
      <c r="E11" t="s">
        <v>28</v>
      </c>
      <c r="F11" t="s">
        <v>33</v>
      </c>
      <c r="G11">
        <v>432</v>
      </c>
      <c r="H11">
        <v>80</v>
      </c>
      <c r="I11">
        <v>102</v>
      </c>
      <c r="J11">
        <v>410</v>
      </c>
      <c r="K11" s="3">
        <v>26.08</v>
      </c>
      <c r="L11" s="3">
        <v>10692.8</v>
      </c>
      <c r="M11" t="s">
        <v>49</v>
      </c>
    </row>
    <row r="12" spans="1:13">
      <c r="A12" t="s">
        <v>53</v>
      </c>
      <c r="B12" s="2">
        <v>46184</v>
      </c>
      <c r="C12" t="s">
        <v>35</v>
      </c>
      <c r="D12" t="s">
        <v>36</v>
      </c>
      <c r="E12" t="s">
        <v>37</v>
      </c>
      <c r="F12" t="s">
        <v>38</v>
      </c>
      <c r="G12">
        <v>128</v>
      </c>
      <c r="H12">
        <v>167</v>
      </c>
      <c r="I12">
        <v>127</v>
      </c>
      <c r="J12">
        <v>168</v>
      </c>
      <c r="K12" s="3">
        <v>223.42</v>
      </c>
      <c r="L12" s="3">
        <v>37534.559999999998</v>
      </c>
      <c r="M12" t="s">
        <v>24</v>
      </c>
    </row>
    <row r="13" spans="1:13">
      <c r="A13" t="s">
        <v>54</v>
      </c>
      <c r="B13" s="2">
        <v>46096</v>
      </c>
      <c r="C13" t="s">
        <v>55</v>
      </c>
      <c r="D13" t="s">
        <v>56</v>
      </c>
      <c r="E13" t="s">
        <v>28</v>
      </c>
      <c r="F13" t="s">
        <v>29</v>
      </c>
      <c r="G13">
        <v>155</v>
      </c>
      <c r="H13">
        <v>35</v>
      </c>
      <c r="I13">
        <v>63</v>
      </c>
      <c r="J13">
        <v>127</v>
      </c>
      <c r="K13" s="3">
        <v>190.19</v>
      </c>
      <c r="L13" s="3">
        <v>24154.13</v>
      </c>
      <c r="M13" t="s">
        <v>24</v>
      </c>
    </row>
    <row r="14" spans="1:13">
      <c r="A14" t="s">
        <v>57</v>
      </c>
      <c r="B14" s="2">
        <v>46242</v>
      </c>
      <c r="C14" t="s">
        <v>26</v>
      </c>
      <c r="D14" t="s">
        <v>27</v>
      </c>
      <c r="E14" t="s">
        <v>28</v>
      </c>
      <c r="F14" t="s">
        <v>29</v>
      </c>
      <c r="G14">
        <v>479</v>
      </c>
      <c r="H14">
        <v>149</v>
      </c>
      <c r="I14">
        <v>102</v>
      </c>
      <c r="J14">
        <v>526</v>
      </c>
      <c r="K14" s="3">
        <v>117.23</v>
      </c>
      <c r="L14" s="3">
        <v>61662.98</v>
      </c>
      <c r="M14" t="s">
        <v>49</v>
      </c>
    </row>
    <row r="15" spans="1:13">
      <c r="A15" t="s">
        <v>58</v>
      </c>
      <c r="B15" s="2">
        <v>46275</v>
      </c>
      <c r="C15" t="s">
        <v>59</v>
      </c>
      <c r="D15" t="s">
        <v>60</v>
      </c>
      <c r="E15" t="s">
        <v>16</v>
      </c>
      <c r="F15" t="s">
        <v>17</v>
      </c>
      <c r="G15">
        <v>66</v>
      </c>
      <c r="H15">
        <v>12</v>
      </c>
      <c r="I15">
        <v>14</v>
      </c>
      <c r="J15">
        <v>64</v>
      </c>
      <c r="K15" s="3">
        <v>60.5</v>
      </c>
      <c r="L15" s="3">
        <v>3872</v>
      </c>
      <c r="M15" t="s">
        <v>49</v>
      </c>
    </row>
    <row r="16" spans="1:13">
      <c r="A16" t="s">
        <v>61</v>
      </c>
      <c r="B16" s="2">
        <v>46055</v>
      </c>
      <c r="C16" t="s">
        <v>62</v>
      </c>
      <c r="D16" t="s">
        <v>63</v>
      </c>
      <c r="E16" t="s">
        <v>37</v>
      </c>
      <c r="F16" t="s">
        <v>38</v>
      </c>
      <c r="G16">
        <v>217</v>
      </c>
      <c r="H16">
        <v>97</v>
      </c>
      <c r="I16">
        <v>152</v>
      </c>
      <c r="J16">
        <v>162</v>
      </c>
      <c r="K16" s="3">
        <v>62.69</v>
      </c>
      <c r="L16" s="3">
        <v>10155.780000000001</v>
      </c>
      <c r="M16" t="s">
        <v>24</v>
      </c>
    </row>
    <row r="17" spans="1:13">
      <c r="A17" t="s">
        <v>64</v>
      </c>
      <c r="B17" s="2">
        <v>46028</v>
      </c>
      <c r="C17" t="s">
        <v>26</v>
      </c>
      <c r="D17" t="s">
        <v>27</v>
      </c>
      <c r="E17" t="s">
        <v>28</v>
      </c>
      <c r="F17" t="s">
        <v>29</v>
      </c>
      <c r="G17">
        <v>368</v>
      </c>
      <c r="H17">
        <v>29</v>
      </c>
      <c r="I17">
        <v>174</v>
      </c>
      <c r="J17">
        <v>223</v>
      </c>
      <c r="K17" s="3">
        <v>127.25</v>
      </c>
      <c r="L17" s="3">
        <v>28376.75</v>
      </c>
      <c r="M17" t="s">
        <v>18</v>
      </c>
    </row>
    <row r="18" spans="1:13">
      <c r="A18" t="s">
        <v>65</v>
      </c>
      <c r="B18" s="2">
        <v>46080</v>
      </c>
      <c r="C18" t="s">
        <v>66</v>
      </c>
      <c r="D18" t="s">
        <v>67</v>
      </c>
      <c r="E18" t="s">
        <v>16</v>
      </c>
      <c r="F18" t="s">
        <v>68</v>
      </c>
      <c r="G18">
        <v>170</v>
      </c>
      <c r="H18">
        <v>111</v>
      </c>
      <c r="I18">
        <v>40</v>
      </c>
      <c r="J18">
        <v>241</v>
      </c>
      <c r="K18" s="3">
        <v>63.09</v>
      </c>
      <c r="L18" s="3">
        <v>15204.69</v>
      </c>
      <c r="M18" t="s">
        <v>24</v>
      </c>
    </row>
    <row r="19" spans="1:13">
      <c r="A19" t="s">
        <v>69</v>
      </c>
      <c r="B19" s="2">
        <v>46279</v>
      </c>
      <c r="C19" t="s">
        <v>26</v>
      </c>
      <c r="D19" t="s">
        <v>27</v>
      </c>
      <c r="E19" t="s">
        <v>28</v>
      </c>
      <c r="F19" t="s">
        <v>29</v>
      </c>
      <c r="G19">
        <v>410</v>
      </c>
      <c r="H19">
        <v>45</v>
      </c>
      <c r="I19">
        <v>129</v>
      </c>
      <c r="J19">
        <v>326</v>
      </c>
      <c r="K19" s="3">
        <v>127.79</v>
      </c>
      <c r="L19" s="3">
        <v>41659.54</v>
      </c>
      <c r="M19" t="s">
        <v>24</v>
      </c>
    </row>
    <row r="20" spans="1:13">
      <c r="A20" t="s">
        <v>70</v>
      </c>
      <c r="B20" s="2">
        <v>46282</v>
      </c>
      <c r="C20" t="s">
        <v>71</v>
      </c>
      <c r="D20" t="s">
        <v>72</v>
      </c>
      <c r="E20" t="s">
        <v>22</v>
      </c>
      <c r="F20" t="s">
        <v>68</v>
      </c>
      <c r="G20">
        <v>331</v>
      </c>
      <c r="H20">
        <v>50</v>
      </c>
      <c r="I20">
        <v>39</v>
      </c>
      <c r="J20">
        <v>342</v>
      </c>
      <c r="K20" s="3">
        <v>11.03</v>
      </c>
      <c r="L20" s="3">
        <v>3772.26</v>
      </c>
      <c r="M20" t="s">
        <v>49</v>
      </c>
    </row>
    <row r="21" spans="1:13">
      <c r="A21" t="s">
        <v>73</v>
      </c>
      <c r="B21" s="2">
        <v>46294</v>
      </c>
      <c r="C21" t="s">
        <v>47</v>
      </c>
      <c r="D21" t="s">
        <v>48</v>
      </c>
      <c r="E21" t="s">
        <v>43</v>
      </c>
      <c r="F21" t="s">
        <v>44</v>
      </c>
      <c r="G21">
        <v>490</v>
      </c>
      <c r="H21">
        <v>0</v>
      </c>
      <c r="I21">
        <v>153</v>
      </c>
      <c r="J21">
        <v>337</v>
      </c>
      <c r="K21" s="3">
        <v>161.55000000000001</v>
      </c>
      <c r="L21" s="3">
        <v>54442.35</v>
      </c>
      <c r="M21" t="s">
        <v>49</v>
      </c>
    </row>
    <row r="22" spans="1:13">
      <c r="A22" t="s">
        <v>74</v>
      </c>
      <c r="B22" s="2">
        <v>46208</v>
      </c>
      <c r="C22" t="s">
        <v>20</v>
      </c>
      <c r="D22" t="s">
        <v>21</v>
      </c>
      <c r="E22" t="s">
        <v>22</v>
      </c>
      <c r="F22" t="s">
        <v>23</v>
      </c>
      <c r="G22">
        <v>469</v>
      </c>
      <c r="H22">
        <v>78</v>
      </c>
      <c r="I22">
        <v>61</v>
      </c>
      <c r="J22">
        <v>486</v>
      </c>
      <c r="K22" s="3">
        <v>60.24</v>
      </c>
      <c r="L22" s="3">
        <v>29276.639999999999</v>
      </c>
      <c r="M22" t="s">
        <v>24</v>
      </c>
    </row>
    <row r="23" spans="1:13">
      <c r="A23" t="s">
        <v>75</v>
      </c>
      <c r="B23" s="2">
        <v>46066</v>
      </c>
      <c r="C23" t="s">
        <v>31</v>
      </c>
      <c r="D23" t="s">
        <v>32</v>
      </c>
      <c r="E23" t="s">
        <v>28</v>
      </c>
      <c r="F23" t="s">
        <v>33</v>
      </c>
      <c r="G23">
        <v>394</v>
      </c>
      <c r="H23">
        <v>124</v>
      </c>
      <c r="I23">
        <v>208</v>
      </c>
      <c r="J23">
        <v>310</v>
      </c>
      <c r="K23" s="3">
        <v>73.73</v>
      </c>
      <c r="L23" s="3">
        <v>22856.3</v>
      </c>
      <c r="M23" t="s">
        <v>24</v>
      </c>
    </row>
    <row r="24" spans="1:13">
      <c r="A24" t="s">
        <v>76</v>
      </c>
      <c r="B24" s="2">
        <v>46088</v>
      </c>
      <c r="C24" t="s">
        <v>77</v>
      </c>
      <c r="D24" t="s">
        <v>78</v>
      </c>
      <c r="E24" t="s">
        <v>16</v>
      </c>
      <c r="F24" t="s">
        <v>17</v>
      </c>
      <c r="G24">
        <v>357</v>
      </c>
      <c r="H24">
        <v>121</v>
      </c>
      <c r="I24">
        <v>140</v>
      </c>
      <c r="J24">
        <v>338</v>
      </c>
      <c r="K24" s="3">
        <v>195.91</v>
      </c>
      <c r="L24" s="3">
        <v>66217.58</v>
      </c>
      <c r="M24" t="s">
        <v>24</v>
      </c>
    </row>
    <row r="25" spans="1:13">
      <c r="A25" t="s">
        <v>79</v>
      </c>
      <c r="B25" s="2">
        <v>46239</v>
      </c>
      <c r="C25" t="s">
        <v>80</v>
      </c>
      <c r="D25" t="s">
        <v>81</v>
      </c>
      <c r="E25" t="s">
        <v>28</v>
      </c>
      <c r="F25" t="s">
        <v>33</v>
      </c>
      <c r="G25">
        <v>128</v>
      </c>
      <c r="H25">
        <v>138</v>
      </c>
      <c r="I25">
        <v>193</v>
      </c>
      <c r="J25">
        <v>73</v>
      </c>
      <c r="K25" s="3">
        <v>4.9800000000000004</v>
      </c>
      <c r="L25" s="3">
        <v>363.54</v>
      </c>
      <c r="M25" t="s">
        <v>49</v>
      </c>
    </row>
    <row r="26" spans="1:13">
      <c r="A26" t="s">
        <v>82</v>
      </c>
      <c r="B26" s="2">
        <v>46227</v>
      </c>
      <c r="C26" t="s">
        <v>71</v>
      </c>
      <c r="D26" t="s">
        <v>72</v>
      </c>
      <c r="E26" t="s">
        <v>22</v>
      </c>
      <c r="F26" t="s">
        <v>68</v>
      </c>
      <c r="G26">
        <v>363</v>
      </c>
      <c r="H26">
        <v>166</v>
      </c>
      <c r="I26">
        <v>95</v>
      </c>
      <c r="J26">
        <v>434</v>
      </c>
      <c r="K26" s="3">
        <v>11.14</v>
      </c>
      <c r="L26" s="3">
        <v>4834.76</v>
      </c>
      <c r="M26" t="s">
        <v>24</v>
      </c>
    </row>
    <row r="27" spans="1:13">
      <c r="A27" t="s">
        <v>83</v>
      </c>
      <c r="B27" s="2">
        <v>46084</v>
      </c>
      <c r="C27" t="s">
        <v>55</v>
      </c>
      <c r="D27" t="s">
        <v>56</v>
      </c>
      <c r="E27" t="s">
        <v>28</v>
      </c>
      <c r="F27" t="s">
        <v>29</v>
      </c>
      <c r="G27">
        <v>146</v>
      </c>
      <c r="H27">
        <v>57</v>
      </c>
      <c r="I27">
        <v>16</v>
      </c>
      <c r="J27">
        <v>187</v>
      </c>
      <c r="K27" s="3">
        <v>178.28</v>
      </c>
      <c r="L27" s="3">
        <v>33338.36</v>
      </c>
      <c r="M27" t="s">
        <v>24</v>
      </c>
    </row>
    <row r="28" spans="1:13">
      <c r="A28" t="s">
        <v>84</v>
      </c>
      <c r="B28" s="2">
        <v>46140</v>
      </c>
      <c r="C28" t="s">
        <v>47</v>
      </c>
      <c r="D28" t="s">
        <v>48</v>
      </c>
      <c r="E28" t="s">
        <v>43</v>
      </c>
      <c r="F28" t="s">
        <v>44</v>
      </c>
      <c r="G28">
        <v>321</v>
      </c>
      <c r="H28">
        <v>56</v>
      </c>
      <c r="I28">
        <v>1</v>
      </c>
      <c r="J28">
        <v>376</v>
      </c>
      <c r="K28" s="3">
        <v>154.82</v>
      </c>
      <c r="L28" s="3">
        <v>58212.32</v>
      </c>
      <c r="M28" t="s">
        <v>24</v>
      </c>
    </row>
    <row r="29" spans="1:13">
      <c r="A29" t="s">
        <v>85</v>
      </c>
      <c r="B29" s="2">
        <v>46140</v>
      </c>
      <c r="C29" t="s">
        <v>86</v>
      </c>
      <c r="D29" t="s">
        <v>87</v>
      </c>
      <c r="E29" t="s">
        <v>43</v>
      </c>
      <c r="F29" t="s">
        <v>44</v>
      </c>
      <c r="G29">
        <v>54</v>
      </c>
      <c r="H29">
        <v>8</v>
      </c>
      <c r="I29">
        <v>55</v>
      </c>
      <c r="J29">
        <v>7</v>
      </c>
      <c r="K29" s="3">
        <v>9.66</v>
      </c>
      <c r="L29" s="3">
        <v>67.62</v>
      </c>
      <c r="M29" t="s">
        <v>24</v>
      </c>
    </row>
    <row r="30" spans="1:13">
      <c r="A30" t="s">
        <v>88</v>
      </c>
      <c r="B30" s="2">
        <v>46165</v>
      </c>
      <c r="C30" t="s">
        <v>51</v>
      </c>
      <c r="D30" t="s">
        <v>52</v>
      </c>
      <c r="E30" t="s">
        <v>28</v>
      </c>
      <c r="F30" t="s">
        <v>33</v>
      </c>
      <c r="G30">
        <v>362</v>
      </c>
      <c r="H30">
        <v>124</v>
      </c>
      <c r="I30">
        <v>54</v>
      </c>
      <c r="J30">
        <v>432</v>
      </c>
      <c r="K30" s="3">
        <v>27.25</v>
      </c>
      <c r="L30" s="3">
        <v>11772</v>
      </c>
      <c r="M30" t="s">
        <v>24</v>
      </c>
    </row>
    <row r="31" spans="1:13">
      <c r="A31" t="s">
        <v>89</v>
      </c>
      <c r="B31" s="2">
        <v>46265</v>
      </c>
      <c r="C31" t="s">
        <v>35</v>
      </c>
      <c r="D31" t="s">
        <v>36</v>
      </c>
      <c r="E31" t="s">
        <v>37</v>
      </c>
      <c r="F31" t="s">
        <v>38</v>
      </c>
      <c r="G31">
        <v>144</v>
      </c>
      <c r="H31">
        <v>121</v>
      </c>
      <c r="I31">
        <v>206</v>
      </c>
      <c r="J31">
        <v>59</v>
      </c>
      <c r="K31" s="3">
        <v>223.83</v>
      </c>
      <c r="L31" s="3">
        <v>13205.97</v>
      </c>
      <c r="M31" t="s">
        <v>49</v>
      </c>
    </row>
    <row r="32" spans="1:13">
      <c r="A32" t="s">
        <v>90</v>
      </c>
      <c r="B32" s="2">
        <v>46243</v>
      </c>
      <c r="C32" t="s">
        <v>20</v>
      </c>
      <c r="D32" t="s">
        <v>21</v>
      </c>
      <c r="E32" t="s">
        <v>22</v>
      </c>
      <c r="F32" t="s">
        <v>23</v>
      </c>
      <c r="G32">
        <v>201</v>
      </c>
      <c r="H32">
        <v>108</v>
      </c>
      <c r="I32">
        <v>105</v>
      </c>
      <c r="J32">
        <v>204</v>
      </c>
      <c r="K32" s="3">
        <v>64.489999999999995</v>
      </c>
      <c r="L32" s="3">
        <v>13155.96</v>
      </c>
      <c r="M32" t="s">
        <v>24</v>
      </c>
    </row>
    <row r="33" spans="1:13">
      <c r="A33" t="s">
        <v>91</v>
      </c>
      <c r="B33" s="2">
        <v>46073</v>
      </c>
      <c r="C33" t="s">
        <v>86</v>
      </c>
      <c r="D33" t="s">
        <v>87</v>
      </c>
      <c r="E33" t="s">
        <v>43</v>
      </c>
      <c r="F33" t="s">
        <v>44</v>
      </c>
      <c r="G33">
        <v>51</v>
      </c>
      <c r="H33">
        <v>103</v>
      </c>
      <c r="I33">
        <v>86</v>
      </c>
      <c r="J33">
        <v>68</v>
      </c>
      <c r="K33" s="3">
        <v>10.41</v>
      </c>
      <c r="L33" s="3">
        <v>707.88</v>
      </c>
      <c r="M33" t="s">
        <v>49</v>
      </c>
    </row>
    <row r="34" spans="1:13">
      <c r="A34" t="s">
        <v>92</v>
      </c>
      <c r="B34" s="2">
        <v>46121</v>
      </c>
      <c r="C34" t="s">
        <v>51</v>
      </c>
      <c r="D34" t="s">
        <v>52</v>
      </c>
      <c r="E34" t="s">
        <v>28</v>
      </c>
      <c r="F34" t="s">
        <v>33</v>
      </c>
      <c r="G34">
        <v>117</v>
      </c>
      <c r="H34">
        <v>137</v>
      </c>
      <c r="I34">
        <v>114</v>
      </c>
      <c r="J34">
        <v>140</v>
      </c>
      <c r="K34" s="3">
        <v>25.52</v>
      </c>
      <c r="L34" s="3">
        <v>3572.8</v>
      </c>
      <c r="M34" t="s">
        <v>49</v>
      </c>
    </row>
    <row r="35" spans="1:13">
      <c r="A35" t="s">
        <v>93</v>
      </c>
      <c r="B35" s="2">
        <v>46259</v>
      </c>
      <c r="C35" t="s">
        <v>26</v>
      </c>
      <c r="D35" t="s">
        <v>27</v>
      </c>
      <c r="E35" t="s">
        <v>28</v>
      </c>
      <c r="F35" t="s">
        <v>29</v>
      </c>
      <c r="G35">
        <v>147</v>
      </c>
      <c r="H35">
        <v>19</v>
      </c>
      <c r="I35">
        <v>113</v>
      </c>
      <c r="J35">
        <v>53</v>
      </c>
      <c r="K35" s="3">
        <v>125.78</v>
      </c>
      <c r="L35" s="3">
        <v>6666.34</v>
      </c>
      <c r="M35" t="s">
        <v>24</v>
      </c>
    </row>
    <row r="36" spans="1:13">
      <c r="A36" t="s">
        <v>94</v>
      </c>
      <c r="B36" s="2">
        <v>46048</v>
      </c>
      <c r="C36" t="s">
        <v>20</v>
      </c>
      <c r="D36" t="s">
        <v>21</v>
      </c>
      <c r="E36" t="s">
        <v>22</v>
      </c>
      <c r="F36" t="s">
        <v>23</v>
      </c>
      <c r="G36">
        <v>353</v>
      </c>
      <c r="H36">
        <v>138</v>
      </c>
      <c r="I36">
        <v>214</v>
      </c>
      <c r="J36">
        <v>277</v>
      </c>
      <c r="K36" s="3">
        <v>59.8</v>
      </c>
      <c r="L36" s="3">
        <v>16564.599999999999</v>
      </c>
      <c r="M36" t="s">
        <v>49</v>
      </c>
    </row>
    <row r="37" spans="1:13">
      <c r="A37" t="s">
        <v>95</v>
      </c>
      <c r="B37" s="2">
        <v>46108</v>
      </c>
      <c r="C37" t="s">
        <v>51</v>
      </c>
      <c r="D37" t="s">
        <v>52</v>
      </c>
      <c r="E37" t="s">
        <v>28</v>
      </c>
      <c r="F37" t="s">
        <v>33</v>
      </c>
      <c r="G37">
        <v>228</v>
      </c>
      <c r="H37">
        <v>124</v>
      </c>
      <c r="I37">
        <v>123</v>
      </c>
      <c r="J37">
        <v>229</v>
      </c>
      <c r="K37" s="3">
        <v>25.84</v>
      </c>
      <c r="L37" s="3">
        <v>5917.36</v>
      </c>
      <c r="M37" t="s">
        <v>18</v>
      </c>
    </row>
    <row r="38" spans="1:13">
      <c r="A38" t="s">
        <v>96</v>
      </c>
      <c r="B38" s="2">
        <v>46107</v>
      </c>
      <c r="C38" t="s">
        <v>86</v>
      </c>
      <c r="D38" t="s">
        <v>87</v>
      </c>
      <c r="E38" t="s">
        <v>43</v>
      </c>
      <c r="F38" t="s">
        <v>44</v>
      </c>
      <c r="G38">
        <v>214</v>
      </c>
      <c r="H38">
        <v>0</v>
      </c>
      <c r="I38">
        <v>99</v>
      </c>
      <c r="J38">
        <v>115</v>
      </c>
      <c r="K38" s="3">
        <v>9.56</v>
      </c>
      <c r="L38" s="3">
        <v>1099.4000000000001</v>
      </c>
      <c r="M38" t="s">
        <v>18</v>
      </c>
    </row>
    <row r="39" spans="1:13">
      <c r="A39" t="s">
        <v>97</v>
      </c>
      <c r="B39" s="2">
        <v>46239</v>
      </c>
      <c r="C39" t="s">
        <v>71</v>
      </c>
      <c r="D39" t="s">
        <v>72</v>
      </c>
      <c r="E39" t="s">
        <v>22</v>
      </c>
      <c r="F39" t="s">
        <v>68</v>
      </c>
      <c r="G39">
        <v>376</v>
      </c>
      <c r="H39">
        <v>142</v>
      </c>
      <c r="I39">
        <v>169</v>
      </c>
      <c r="J39">
        <v>349</v>
      </c>
      <c r="K39" s="3">
        <v>11.65</v>
      </c>
      <c r="L39" s="3">
        <v>4065.85</v>
      </c>
      <c r="M39" t="s">
        <v>49</v>
      </c>
    </row>
    <row r="40" spans="1:13">
      <c r="A40" t="s">
        <v>98</v>
      </c>
      <c r="B40" s="2">
        <v>46174</v>
      </c>
      <c r="C40" t="s">
        <v>99</v>
      </c>
      <c r="D40" t="s">
        <v>100</v>
      </c>
      <c r="E40" t="s">
        <v>43</v>
      </c>
      <c r="F40" t="s">
        <v>44</v>
      </c>
      <c r="G40">
        <v>131</v>
      </c>
      <c r="H40">
        <v>14</v>
      </c>
      <c r="I40">
        <v>138</v>
      </c>
      <c r="J40">
        <v>7</v>
      </c>
      <c r="K40" s="3">
        <v>232.56</v>
      </c>
      <c r="L40" s="3">
        <v>1627.92</v>
      </c>
      <c r="M40" t="s">
        <v>18</v>
      </c>
    </row>
    <row r="41" spans="1:13">
      <c r="A41" t="s">
        <v>101</v>
      </c>
      <c r="B41" s="2">
        <v>46048</v>
      </c>
      <c r="C41" t="s">
        <v>86</v>
      </c>
      <c r="D41" t="s">
        <v>87</v>
      </c>
      <c r="E41" t="s">
        <v>43</v>
      </c>
      <c r="F41" t="s">
        <v>44</v>
      </c>
      <c r="G41">
        <v>319</v>
      </c>
      <c r="H41">
        <v>122</v>
      </c>
      <c r="I41">
        <v>128</v>
      </c>
      <c r="J41">
        <v>313</v>
      </c>
      <c r="K41" s="3">
        <v>10.59</v>
      </c>
      <c r="L41" s="3">
        <v>3314.67</v>
      </c>
      <c r="M41" t="s">
        <v>24</v>
      </c>
    </row>
    <row r="42" spans="1:13">
      <c r="A42" t="s">
        <v>102</v>
      </c>
      <c r="B42" s="2">
        <v>46052</v>
      </c>
      <c r="C42" t="s">
        <v>14</v>
      </c>
      <c r="D42" t="s">
        <v>15</v>
      </c>
      <c r="E42" t="s">
        <v>16</v>
      </c>
      <c r="F42" t="s">
        <v>17</v>
      </c>
      <c r="G42">
        <v>280</v>
      </c>
      <c r="H42">
        <v>20</v>
      </c>
      <c r="I42">
        <v>217</v>
      </c>
      <c r="J42">
        <v>83</v>
      </c>
      <c r="K42" s="3">
        <v>180.87</v>
      </c>
      <c r="L42" s="3">
        <v>15012.21</v>
      </c>
      <c r="M42" t="s">
        <v>24</v>
      </c>
    </row>
    <row r="43" spans="1:13">
      <c r="A43" t="s">
        <v>103</v>
      </c>
      <c r="B43" s="2">
        <v>46143</v>
      </c>
      <c r="C43" t="s">
        <v>31</v>
      </c>
      <c r="D43" t="s">
        <v>32</v>
      </c>
      <c r="E43" t="s">
        <v>28</v>
      </c>
      <c r="F43" t="s">
        <v>33</v>
      </c>
      <c r="G43">
        <v>226</v>
      </c>
      <c r="H43">
        <v>30</v>
      </c>
      <c r="I43">
        <v>145</v>
      </c>
      <c r="J43">
        <v>111</v>
      </c>
      <c r="K43" s="3">
        <v>75.97</v>
      </c>
      <c r="L43" s="3">
        <v>8432.67</v>
      </c>
      <c r="M43" t="s">
        <v>24</v>
      </c>
    </row>
    <row r="44" spans="1:13">
      <c r="A44" t="s">
        <v>104</v>
      </c>
      <c r="B44" s="2">
        <v>46064</v>
      </c>
      <c r="C44" t="s">
        <v>86</v>
      </c>
      <c r="D44" t="s">
        <v>87</v>
      </c>
      <c r="E44" t="s">
        <v>43</v>
      </c>
      <c r="F44" t="s">
        <v>44</v>
      </c>
      <c r="G44">
        <v>234</v>
      </c>
      <c r="H44">
        <v>168</v>
      </c>
      <c r="I44">
        <v>149</v>
      </c>
      <c r="J44">
        <v>253</v>
      </c>
      <c r="K44" s="3">
        <v>10.029999999999999</v>
      </c>
      <c r="L44" s="3">
        <v>2537.59</v>
      </c>
      <c r="M44" t="s">
        <v>18</v>
      </c>
    </row>
    <row r="45" spans="1:13">
      <c r="A45" t="s">
        <v>105</v>
      </c>
      <c r="B45" s="2">
        <v>46127</v>
      </c>
      <c r="C45" t="s">
        <v>26</v>
      </c>
      <c r="D45" t="s">
        <v>27</v>
      </c>
      <c r="E45" t="s">
        <v>28</v>
      </c>
      <c r="F45" t="s">
        <v>29</v>
      </c>
      <c r="G45">
        <v>362</v>
      </c>
      <c r="H45">
        <v>80</v>
      </c>
      <c r="I45">
        <v>61</v>
      </c>
      <c r="J45">
        <v>381</v>
      </c>
      <c r="K45" s="3">
        <v>115.38</v>
      </c>
      <c r="L45" s="3">
        <v>43959.78</v>
      </c>
      <c r="M45" t="s">
        <v>49</v>
      </c>
    </row>
    <row r="46" spans="1:13">
      <c r="A46" t="s">
        <v>106</v>
      </c>
      <c r="B46" s="2">
        <v>46257</v>
      </c>
      <c r="C46" t="s">
        <v>71</v>
      </c>
      <c r="D46" t="s">
        <v>72</v>
      </c>
      <c r="E46" t="s">
        <v>22</v>
      </c>
      <c r="F46" t="s">
        <v>68</v>
      </c>
      <c r="G46">
        <v>181</v>
      </c>
      <c r="H46">
        <v>18</v>
      </c>
      <c r="I46">
        <v>2</v>
      </c>
      <c r="J46">
        <v>197</v>
      </c>
      <c r="K46" s="3">
        <v>11.18</v>
      </c>
      <c r="L46" s="3">
        <v>2202.46</v>
      </c>
      <c r="M46" t="s">
        <v>24</v>
      </c>
    </row>
    <row r="47" spans="1:13">
      <c r="A47" t="s">
        <v>107</v>
      </c>
      <c r="B47" s="2">
        <v>46060</v>
      </c>
      <c r="C47" t="s">
        <v>20</v>
      </c>
      <c r="D47" t="s">
        <v>21</v>
      </c>
      <c r="E47" t="s">
        <v>22</v>
      </c>
      <c r="F47" t="s">
        <v>23</v>
      </c>
      <c r="G47">
        <v>295</v>
      </c>
      <c r="H47">
        <v>54</v>
      </c>
      <c r="I47">
        <v>129</v>
      </c>
      <c r="J47">
        <v>220</v>
      </c>
      <c r="K47" s="3">
        <v>62.39</v>
      </c>
      <c r="L47" s="3">
        <v>13725.8</v>
      </c>
      <c r="M47" t="s">
        <v>18</v>
      </c>
    </row>
    <row r="48" spans="1:13">
      <c r="A48" t="s">
        <v>108</v>
      </c>
      <c r="B48" s="2">
        <v>46148</v>
      </c>
      <c r="C48" t="s">
        <v>31</v>
      </c>
      <c r="D48" t="s">
        <v>32</v>
      </c>
      <c r="E48" t="s">
        <v>28</v>
      </c>
      <c r="F48" t="s">
        <v>33</v>
      </c>
      <c r="G48">
        <v>209</v>
      </c>
      <c r="H48">
        <v>72</v>
      </c>
      <c r="I48">
        <v>40</v>
      </c>
      <c r="J48">
        <v>241</v>
      </c>
      <c r="K48" s="3">
        <v>78.400000000000006</v>
      </c>
      <c r="L48" s="3">
        <v>18894.400000000001</v>
      </c>
      <c r="M48" t="s">
        <v>24</v>
      </c>
    </row>
    <row r="49" spans="1:13">
      <c r="A49" t="s">
        <v>109</v>
      </c>
      <c r="B49" s="2">
        <v>46293</v>
      </c>
      <c r="C49" t="s">
        <v>71</v>
      </c>
      <c r="D49" t="s">
        <v>72</v>
      </c>
      <c r="E49" t="s">
        <v>22</v>
      </c>
      <c r="F49" t="s">
        <v>68</v>
      </c>
      <c r="G49">
        <v>24</v>
      </c>
      <c r="H49">
        <v>170</v>
      </c>
      <c r="I49">
        <v>141</v>
      </c>
      <c r="J49">
        <v>53</v>
      </c>
      <c r="K49" s="3">
        <v>10.89</v>
      </c>
      <c r="L49" s="3">
        <v>577.16999999999996</v>
      </c>
      <c r="M49" t="s">
        <v>24</v>
      </c>
    </row>
    <row r="50" spans="1:13">
      <c r="A50" t="s">
        <v>110</v>
      </c>
      <c r="B50" s="2">
        <v>46091</v>
      </c>
      <c r="C50" t="s">
        <v>20</v>
      </c>
      <c r="D50" t="s">
        <v>21</v>
      </c>
      <c r="E50" t="s">
        <v>22</v>
      </c>
      <c r="F50" t="s">
        <v>23</v>
      </c>
      <c r="G50">
        <v>155</v>
      </c>
      <c r="H50">
        <v>29</v>
      </c>
      <c r="I50">
        <v>27</v>
      </c>
      <c r="J50">
        <v>157</v>
      </c>
      <c r="K50" s="3">
        <v>67.34</v>
      </c>
      <c r="L50" s="3">
        <v>10572.38</v>
      </c>
      <c r="M50" t="s">
        <v>49</v>
      </c>
    </row>
    <row r="51" spans="1:13">
      <c r="A51" t="s">
        <v>111</v>
      </c>
      <c r="B51" s="2">
        <v>46167</v>
      </c>
      <c r="C51" t="s">
        <v>26</v>
      </c>
      <c r="D51" t="s">
        <v>27</v>
      </c>
      <c r="E51" t="s">
        <v>28</v>
      </c>
      <c r="F51" t="s">
        <v>29</v>
      </c>
      <c r="G51">
        <v>329</v>
      </c>
      <c r="H51">
        <v>53</v>
      </c>
      <c r="I51">
        <v>183</v>
      </c>
      <c r="J51">
        <v>199</v>
      </c>
      <c r="K51" s="3">
        <v>116.86</v>
      </c>
      <c r="L51" s="3">
        <v>23255.14</v>
      </c>
      <c r="M51" t="s">
        <v>24</v>
      </c>
    </row>
    <row r="52" spans="1:13">
      <c r="A52" t="s">
        <v>112</v>
      </c>
      <c r="B52" s="2">
        <v>46281</v>
      </c>
      <c r="C52" t="s">
        <v>26</v>
      </c>
      <c r="D52" t="s">
        <v>27</v>
      </c>
      <c r="E52" t="s">
        <v>28</v>
      </c>
      <c r="F52" t="s">
        <v>29</v>
      </c>
      <c r="G52">
        <v>270</v>
      </c>
      <c r="H52">
        <v>64</v>
      </c>
      <c r="I52">
        <v>216</v>
      </c>
      <c r="J52">
        <v>118</v>
      </c>
      <c r="K52" s="3">
        <v>111.26</v>
      </c>
      <c r="L52" s="3">
        <v>13128.68</v>
      </c>
      <c r="M52" t="s">
        <v>24</v>
      </c>
    </row>
    <row r="53" spans="1:13">
      <c r="A53" t="s">
        <v>113</v>
      </c>
      <c r="B53" s="2">
        <v>46164</v>
      </c>
      <c r="C53" t="s">
        <v>62</v>
      </c>
      <c r="D53" t="s">
        <v>63</v>
      </c>
      <c r="E53" t="s">
        <v>37</v>
      </c>
      <c r="F53" t="s">
        <v>38</v>
      </c>
      <c r="G53">
        <v>42</v>
      </c>
      <c r="H53">
        <v>0</v>
      </c>
      <c r="I53">
        <v>21</v>
      </c>
      <c r="J53">
        <v>21</v>
      </c>
      <c r="K53" s="3">
        <v>60.6</v>
      </c>
      <c r="L53" s="3">
        <v>1272.5999999999999</v>
      </c>
      <c r="M53" t="s">
        <v>24</v>
      </c>
    </row>
    <row r="54" spans="1:13">
      <c r="A54" t="s">
        <v>114</v>
      </c>
      <c r="B54" s="2">
        <v>46105</v>
      </c>
      <c r="C54" t="s">
        <v>26</v>
      </c>
      <c r="D54" t="s">
        <v>27</v>
      </c>
      <c r="E54" t="s">
        <v>28</v>
      </c>
      <c r="F54" t="s">
        <v>29</v>
      </c>
      <c r="G54">
        <v>399</v>
      </c>
      <c r="H54">
        <v>113</v>
      </c>
      <c r="I54">
        <v>141</v>
      </c>
      <c r="J54">
        <v>371</v>
      </c>
      <c r="K54" s="3">
        <v>123.82</v>
      </c>
      <c r="L54" s="3">
        <v>45937.22</v>
      </c>
      <c r="M54" t="s">
        <v>24</v>
      </c>
    </row>
    <row r="55" spans="1:13">
      <c r="A55" t="s">
        <v>115</v>
      </c>
      <c r="B55" s="2">
        <v>46080</v>
      </c>
      <c r="C55" t="s">
        <v>116</v>
      </c>
      <c r="D55" t="s">
        <v>117</v>
      </c>
      <c r="E55" t="s">
        <v>22</v>
      </c>
      <c r="F55" t="s">
        <v>23</v>
      </c>
      <c r="G55">
        <v>58</v>
      </c>
      <c r="H55">
        <v>176</v>
      </c>
      <c r="I55">
        <v>38</v>
      </c>
      <c r="J55">
        <v>196</v>
      </c>
      <c r="K55" s="3">
        <v>181.44</v>
      </c>
      <c r="L55" s="3">
        <v>35562.239999999998</v>
      </c>
      <c r="M55" t="s">
        <v>18</v>
      </c>
    </row>
    <row r="56" spans="1:13">
      <c r="A56" t="s">
        <v>118</v>
      </c>
      <c r="B56" s="2">
        <v>46098</v>
      </c>
      <c r="C56" t="s">
        <v>35</v>
      </c>
      <c r="D56" t="s">
        <v>36</v>
      </c>
      <c r="E56" t="s">
        <v>37</v>
      </c>
      <c r="F56" t="s">
        <v>38</v>
      </c>
      <c r="G56">
        <v>240</v>
      </c>
      <c r="H56">
        <v>32</v>
      </c>
      <c r="I56">
        <v>10</v>
      </c>
      <c r="J56">
        <v>262</v>
      </c>
      <c r="K56" s="3">
        <v>220.24</v>
      </c>
      <c r="L56" s="3">
        <v>57702.879999999997</v>
      </c>
      <c r="M56" t="s">
        <v>49</v>
      </c>
    </row>
    <row r="57" spans="1:13">
      <c r="A57" t="s">
        <v>119</v>
      </c>
      <c r="B57" s="2">
        <v>46130</v>
      </c>
      <c r="C57" t="s">
        <v>41</v>
      </c>
      <c r="D57" t="s">
        <v>42</v>
      </c>
      <c r="E57" t="s">
        <v>43</v>
      </c>
      <c r="F57" t="s">
        <v>44</v>
      </c>
      <c r="G57">
        <v>369</v>
      </c>
      <c r="H57">
        <v>63</v>
      </c>
      <c r="I57">
        <v>170</v>
      </c>
      <c r="J57">
        <v>262</v>
      </c>
      <c r="K57" s="3">
        <v>133.9</v>
      </c>
      <c r="L57" s="3">
        <v>35081.800000000003</v>
      </c>
      <c r="M57" t="s">
        <v>24</v>
      </c>
    </row>
    <row r="58" spans="1:13">
      <c r="A58" t="s">
        <v>120</v>
      </c>
      <c r="B58" s="2">
        <v>46102</v>
      </c>
      <c r="C58" t="s">
        <v>62</v>
      </c>
      <c r="D58" t="s">
        <v>63</v>
      </c>
      <c r="E58" t="s">
        <v>37</v>
      </c>
      <c r="F58" t="s">
        <v>38</v>
      </c>
      <c r="G58">
        <v>493</v>
      </c>
      <c r="H58">
        <v>60</v>
      </c>
      <c r="I58">
        <v>41</v>
      </c>
      <c r="J58">
        <v>512</v>
      </c>
      <c r="K58" s="3">
        <v>62.5</v>
      </c>
      <c r="L58" s="3">
        <v>32000</v>
      </c>
      <c r="M58" t="s">
        <v>49</v>
      </c>
    </row>
    <row r="59" spans="1:13">
      <c r="A59" t="s">
        <v>121</v>
      </c>
      <c r="B59" s="2">
        <v>46035</v>
      </c>
      <c r="C59" t="s">
        <v>62</v>
      </c>
      <c r="D59" t="s">
        <v>63</v>
      </c>
      <c r="E59" t="s">
        <v>37</v>
      </c>
      <c r="F59" t="s">
        <v>38</v>
      </c>
      <c r="G59">
        <v>111</v>
      </c>
      <c r="H59">
        <v>85</v>
      </c>
      <c r="I59">
        <v>105</v>
      </c>
      <c r="J59">
        <v>91</v>
      </c>
      <c r="K59" s="3">
        <v>60.89</v>
      </c>
      <c r="L59" s="3">
        <v>5540.99</v>
      </c>
      <c r="M59" t="s">
        <v>24</v>
      </c>
    </row>
    <row r="60" spans="1:13">
      <c r="A60" t="s">
        <v>122</v>
      </c>
      <c r="B60" s="2">
        <v>46159</v>
      </c>
      <c r="C60" t="s">
        <v>51</v>
      </c>
      <c r="D60" t="s">
        <v>52</v>
      </c>
      <c r="E60" t="s">
        <v>28</v>
      </c>
      <c r="F60" t="s">
        <v>33</v>
      </c>
      <c r="G60">
        <v>101</v>
      </c>
      <c r="H60">
        <v>179</v>
      </c>
      <c r="I60">
        <v>27</v>
      </c>
      <c r="J60">
        <v>253</v>
      </c>
      <c r="K60" s="3">
        <v>26.57</v>
      </c>
      <c r="L60" s="3">
        <v>6722.21</v>
      </c>
      <c r="M60" t="s">
        <v>49</v>
      </c>
    </row>
    <row r="61" spans="1:13">
      <c r="A61" t="s">
        <v>123</v>
      </c>
      <c r="B61" s="2">
        <v>46136</v>
      </c>
      <c r="C61" t="s">
        <v>124</v>
      </c>
      <c r="D61" t="s">
        <v>125</v>
      </c>
      <c r="E61" t="s">
        <v>22</v>
      </c>
      <c r="F61" t="s">
        <v>23</v>
      </c>
      <c r="G61">
        <v>122</v>
      </c>
      <c r="H61">
        <v>117</v>
      </c>
      <c r="I61">
        <v>89</v>
      </c>
      <c r="J61">
        <v>150</v>
      </c>
      <c r="K61" s="3">
        <v>149.15</v>
      </c>
      <c r="L61" s="3">
        <v>22372.5</v>
      </c>
      <c r="M61" t="s">
        <v>49</v>
      </c>
    </row>
    <row r="62" spans="1:13">
      <c r="A62" t="s">
        <v>126</v>
      </c>
      <c r="B62" s="2">
        <v>46035</v>
      </c>
      <c r="C62" t="s">
        <v>51</v>
      </c>
      <c r="D62" t="s">
        <v>52</v>
      </c>
      <c r="E62" t="s">
        <v>28</v>
      </c>
      <c r="F62" t="s">
        <v>33</v>
      </c>
      <c r="G62">
        <v>357</v>
      </c>
      <c r="H62">
        <v>49</v>
      </c>
      <c r="I62">
        <v>102</v>
      </c>
      <c r="J62">
        <v>304</v>
      </c>
      <c r="K62" s="3">
        <v>26.34</v>
      </c>
      <c r="L62" s="3">
        <v>8007.36</v>
      </c>
      <c r="M62" t="s">
        <v>49</v>
      </c>
    </row>
    <row r="63" spans="1:13">
      <c r="A63" t="s">
        <v>127</v>
      </c>
      <c r="B63" s="2">
        <v>46202</v>
      </c>
      <c r="C63" t="s">
        <v>26</v>
      </c>
      <c r="D63" t="s">
        <v>27</v>
      </c>
      <c r="E63" t="s">
        <v>28</v>
      </c>
      <c r="F63" t="s">
        <v>29</v>
      </c>
      <c r="G63">
        <v>348</v>
      </c>
      <c r="H63">
        <v>130</v>
      </c>
      <c r="I63">
        <v>102</v>
      </c>
      <c r="J63">
        <v>376</v>
      </c>
      <c r="K63" s="3">
        <v>123.32</v>
      </c>
      <c r="L63" s="3">
        <v>46368.32</v>
      </c>
      <c r="M63" t="s">
        <v>24</v>
      </c>
    </row>
    <row r="64" spans="1:13">
      <c r="A64" t="s">
        <v>128</v>
      </c>
      <c r="B64" s="2">
        <v>46037</v>
      </c>
      <c r="C64" t="s">
        <v>66</v>
      </c>
      <c r="D64" t="s">
        <v>67</v>
      </c>
      <c r="E64" t="s">
        <v>16</v>
      </c>
      <c r="F64" t="s">
        <v>68</v>
      </c>
      <c r="G64">
        <v>79</v>
      </c>
      <c r="H64">
        <v>66</v>
      </c>
      <c r="I64">
        <v>45</v>
      </c>
      <c r="J64">
        <v>100</v>
      </c>
      <c r="K64" s="3">
        <v>64.38</v>
      </c>
      <c r="L64" s="3">
        <v>6438</v>
      </c>
      <c r="M64" t="s">
        <v>18</v>
      </c>
    </row>
    <row r="65" spans="1:13">
      <c r="A65" t="s">
        <v>129</v>
      </c>
      <c r="B65" s="2">
        <v>46078</v>
      </c>
      <c r="C65" t="s">
        <v>86</v>
      </c>
      <c r="D65" t="s">
        <v>87</v>
      </c>
      <c r="E65" t="s">
        <v>43</v>
      </c>
      <c r="F65" t="s">
        <v>44</v>
      </c>
      <c r="G65">
        <v>325</v>
      </c>
      <c r="H65">
        <v>111</v>
      </c>
      <c r="I65">
        <v>88</v>
      </c>
      <c r="J65">
        <v>348</v>
      </c>
      <c r="K65" s="3">
        <v>10.29</v>
      </c>
      <c r="L65" s="3">
        <v>3580.92</v>
      </c>
      <c r="M65" t="s">
        <v>18</v>
      </c>
    </row>
    <row r="66" spans="1:13">
      <c r="A66" t="s">
        <v>130</v>
      </c>
      <c r="B66" s="2">
        <v>46284</v>
      </c>
      <c r="C66" t="s">
        <v>62</v>
      </c>
      <c r="D66" t="s">
        <v>63</v>
      </c>
      <c r="E66" t="s">
        <v>37</v>
      </c>
      <c r="F66" t="s">
        <v>38</v>
      </c>
      <c r="G66">
        <v>79</v>
      </c>
      <c r="H66">
        <v>98</v>
      </c>
      <c r="I66">
        <v>147</v>
      </c>
      <c r="J66">
        <v>30</v>
      </c>
      <c r="K66" s="3">
        <v>55.2</v>
      </c>
      <c r="L66" s="3">
        <v>1656</v>
      </c>
      <c r="M66" t="s">
        <v>49</v>
      </c>
    </row>
    <row r="67" spans="1:13">
      <c r="A67" t="s">
        <v>131</v>
      </c>
      <c r="B67" s="2">
        <v>46023</v>
      </c>
      <c r="C67" t="s">
        <v>62</v>
      </c>
      <c r="D67" t="s">
        <v>63</v>
      </c>
      <c r="E67" t="s">
        <v>37</v>
      </c>
      <c r="F67" t="s">
        <v>38</v>
      </c>
      <c r="G67">
        <v>286</v>
      </c>
      <c r="H67">
        <v>137</v>
      </c>
      <c r="I67">
        <v>175</v>
      </c>
      <c r="J67">
        <v>248</v>
      </c>
      <c r="K67" s="3">
        <v>60.12</v>
      </c>
      <c r="L67" s="3">
        <v>14909.76</v>
      </c>
      <c r="M67" t="s">
        <v>24</v>
      </c>
    </row>
    <row r="68" spans="1:13">
      <c r="A68" t="s">
        <v>132</v>
      </c>
      <c r="B68" s="2">
        <v>46209</v>
      </c>
      <c r="C68" t="s">
        <v>99</v>
      </c>
      <c r="D68" t="s">
        <v>100</v>
      </c>
      <c r="E68" t="s">
        <v>43</v>
      </c>
      <c r="F68" t="s">
        <v>44</v>
      </c>
      <c r="G68">
        <v>240</v>
      </c>
      <c r="H68">
        <v>17</v>
      </c>
      <c r="I68">
        <v>170</v>
      </c>
      <c r="J68">
        <v>87</v>
      </c>
      <c r="K68" s="3">
        <v>266.97000000000003</v>
      </c>
      <c r="L68" s="3">
        <v>23226.39</v>
      </c>
      <c r="M68" t="s">
        <v>24</v>
      </c>
    </row>
    <row r="69" spans="1:13">
      <c r="A69" t="s">
        <v>133</v>
      </c>
      <c r="B69" s="2">
        <v>46086</v>
      </c>
      <c r="C69" t="s">
        <v>66</v>
      </c>
      <c r="D69" t="s">
        <v>67</v>
      </c>
      <c r="E69" t="s">
        <v>16</v>
      </c>
      <c r="F69" t="s">
        <v>68</v>
      </c>
      <c r="G69">
        <v>388</v>
      </c>
      <c r="H69">
        <v>76</v>
      </c>
      <c r="I69">
        <v>129</v>
      </c>
      <c r="J69">
        <v>335</v>
      </c>
      <c r="K69" s="3">
        <v>61.62</v>
      </c>
      <c r="L69" s="3">
        <v>20642.7</v>
      </c>
      <c r="M69" t="s">
        <v>18</v>
      </c>
    </row>
    <row r="70" spans="1:13">
      <c r="A70" t="s">
        <v>134</v>
      </c>
      <c r="B70" s="2">
        <v>46229</v>
      </c>
      <c r="C70" t="s">
        <v>66</v>
      </c>
      <c r="D70" t="s">
        <v>67</v>
      </c>
      <c r="E70" t="s">
        <v>16</v>
      </c>
      <c r="F70" t="s">
        <v>68</v>
      </c>
      <c r="G70">
        <v>376</v>
      </c>
      <c r="H70">
        <v>75</v>
      </c>
      <c r="I70">
        <v>141</v>
      </c>
      <c r="J70">
        <v>310</v>
      </c>
      <c r="K70" s="3">
        <v>59.77</v>
      </c>
      <c r="L70" s="3">
        <v>18528.7</v>
      </c>
      <c r="M70" t="s">
        <v>18</v>
      </c>
    </row>
    <row r="71" spans="1:13">
      <c r="A71" t="s">
        <v>135</v>
      </c>
      <c r="B71" s="2">
        <v>46112</v>
      </c>
      <c r="C71" t="s">
        <v>136</v>
      </c>
      <c r="D71" t="s">
        <v>137</v>
      </c>
      <c r="E71" t="s">
        <v>37</v>
      </c>
      <c r="F71" t="s">
        <v>38</v>
      </c>
      <c r="G71">
        <v>335</v>
      </c>
      <c r="H71">
        <v>145</v>
      </c>
      <c r="I71">
        <v>77</v>
      </c>
      <c r="J71">
        <v>403</v>
      </c>
      <c r="K71" s="3">
        <v>10.19</v>
      </c>
      <c r="L71" s="3">
        <v>4106.57</v>
      </c>
      <c r="M71" t="s">
        <v>49</v>
      </c>
    </row>
    <row r="72" spans="1:13">
      <c r="A72" t="s">
        <v>138</v>
      </c>
      <c r="B72" s="2">
        <v>46169</v>
      </c>
      <c r="C72" t="s">
        <v>71</v>
      </c>
      <c r="D72" t="s">
        <v>72</v>
      </c>
      <c r="E72" t="s">
        <v>22</v>
      </c>
      <c r="F72" t="s">
        <v>68</v>
      </c>
      <c r="G72">
        <v>127</v>
      </c>
      <c r="H72">
        <v>110</v>
      </c>
      <c r="I72">
        <v>201</v>
      </c>
      <c r="J72">
        <v>36</v>
      </c>
      <c r="K72" s="3">
        <v>11.4</v>
      </c>
      <c r="L72" s="3">
        <v>410.4</v>
      </c>
      <c r="M72" t="s">
        <v>24</v>
      </c>
    </row>
    <row r="73" spans="1:13">
      <c r="A73" t="s">
        <v>139</v>
      </c>
      <c r="B73" s="2">
        <v>46261</v>
      </c>
      <c r="C73" t="s">
        <v>66</v>
      </c>
      <c r="D73" t="s">
        <v>67</v>
      </c>
      <c r="E73" t="s">
        <v>16</v>
      </c>
      <c r="F73" t="s">
        <v>68</v>
      </c>
      <c r="G73">
        <v>246</v>
      </c>
      <c r="H73">
        <v>113</v>
      </c>
      <c r="I73">
        <v>172</v>
      </c>
      <c r="J73">
        <v>187</v>
      </c>
      <c r="K73" s="3">
        <v>60.65</v>
      </c>
      <c r="L73" s="3">
        <v>11341.55</v>
      </c>
      <c r="M73" t="s">
        <v>18</v>
      </c>
    </row>
    <row r="74" spans="1:13">
      <c r="A74" t="s">
        <v>140</v>
      </c>
      <c r="B74" s="2">
        <v>46066</v>
      </c>
      <c r="C74" t="s">
        <v>14</v>
      </c>
      <c r="D74" t="s">
        <v>15</v>
      </c>
      <c r="E74" t="s">
        <v>16</v>
      </c>
      <c r="F74" t="s">
        <v>17</v>
      </c>
      <c r="G74">
        <v>165</v>
      </c>
      <c r="H74">
        <v>131</v>
      </c>
      <c r="I74">
        <v>169</v>
      </c>
      <c r="J74">
        <v>127</v>
      </c>
      <c r="K74" s="3">
        <v>194.5</v>
      </c>
      <c r="L74" s="3">
        <v>24701.5</v>
      </c>
      <c r="M74" t="s">
        <v>18</v>
      </c>
    </row>
    <row r="75" spans="1:13">
      <c r="A75" t="s">
        <v>141</v>
      </c>
      <c r="B75" s="2">
        <v>46143</v>
      </c>
      <c r="C75" t="s">
        <v>31</v>
      </c>
      <c r="D75" t="s">
        <v>32</v>
      </c>
      <c r="E75" t="s">
        <v>28</v>
      </c>
      <c r="F75" t="s">
        <v>33</v>
      </c>
      <c r="G75">
        <v>364</v>
      </c>
      <c r="H75">
        <v>79</v>
      </c>
      <c r="I75">
        <v>57</v>
      </c>
      <c r="J75">
        <v>386</v>
      </c>
      <c r="K75" s="3">
        <v>83.07</v>
      </c>
      <c r="L75" s="3">
        <v>32065.02</v>
      </c>
      <c r="M75" t="s">
        <v>49</v>
      </c>
    </row>
    <row r="76" spans="1:13">
      <c r="A76" t="s">
        <v>142</v>
      </c>
      <c r="B76" s="2">
        <v>46046</v>
      </c>
      <c r="C76" t="s">
        <v>116</v>
      </c>
      <c r="D76" t="s">
        <v>117</v>
      </c>
      <c r="E76" t="s">
        <v>22</v>
      </c>
      <c r="F76" t="s">
        <v>23</v>
      </c>
      <c r="G76">
        <v>145</v>
      </c>
      <c r="H76">
        <v>121</v>
      </c>
      <c r="I76">
        <v>156</v>
      </c>
      <c r="J76">
        <v>110</v>
      </c>
      <c r="K76" s="3">
        <v>190.2</v>
      </c>
      <c r="L76" s="3">
        <v>20922</v>
      </c>
      <c r="M76" t="s">
        <v>49</v>
      </c>
    </row>
    <row r="77" spans="1:13">
      <c r="A77" t="s">
        <v>143</v>
      </c>
      <c r="B77" s="2">
        <v>46235</v>
      </c>
      <c r="C77" t="s">
        <v>55</v>
      </c>
      <c r="D77" t="s">
        <v>56</v>
      </c>
      <c r="E77" t="s">
        <v>28</v>
      </c>
      <c r="F77" t="s">
        <v>29</v>
      </c>
      <c r="G77">
        <v>473</v>
      </c>
      <c r="H77">
        <v>161</v>
      </c>
      <c r="I77">
        <v>147</v>
      </c>
      <c r="J77">
        <v>487</v>
      </c>
      <c r="K77" s="3">
        <v>174.07</v>
      </c>
      <c r="L77" s="3">
        <v>84772.09</v>
      </c>
      <c r="M77" t="s">
        <v>24</v>
      </c>
    </row>
    <row r="78" spans="1:13">
      <c r="A78" t="s">
        <v>144</v>
      </c>
      <c r="B78" s="2">
        <v>46276</v>
      </c>
      <c r="C78" t="s">
        <v>136</v>
      </c>
      <c r="D78" t="s">
        <v>137</v>
      </c>
      <c r="E78" t="s">
        <v>37</v>
      </c>
      <c r="F78" t="s">
        <v>38</v>
      </c>
      <c r="G78">
        <v>224</v>
      </c>
      <c r="H78">
        <v>62</v>
      </c>
      <c r="I78">
        <v>37</v>
      </c>
      <c r="J78">
        <v>249</v>
      </c>
      <c r="K78" s="3">
        <v>10.61</v>
      </c>
      <c r="L78" s="3">
        <v>2641.89</v>
      </c>
      <c r="M78" t="s">
        <v>49</v>
      </c>
    </row>
    <row r="79" spans="1:13">
      <c r="A79" t="s">
        <v>145</v>
      </c>
      <c r="B79" s="2">
        <v>46240</v>
      </c>
      <c r="C79" t="s">
        <v>20</v>
      </c>
      <c r="D79" t="s">
        <v>21</v>
      </c>
      <c r="E79" t="s">
        <v>22</v>
      </c>
      <c r="F79" t="s">
        <v>23</v>
      </c>
      <c r="G79">
        <v>132</v>
      </c>
      <c r="H79">
        <v>45</v>
      </c>
      <c r="I79">
        <v>132</v>
      </c>
      <c r="J79">
        <v>45</v>
      </c>
      <c r="K79" s="3">
        <v>64.459999999999994</v>
      </c>
      <c r="L79" s="3">
        <v>2900.7</v>
      </c>
      <c r="M79" t="s">
        <v>24</v>
      </c>
    </row>
    <row r="80" spans="1:13">
      <c r="A80" t="s">
        <v>146</v>
      </c>
      <c r="B80" s="2">
        <v>46085</v>
      </c>
      <c r="C80" t="s">
        <v>51</v>
      </c>
      <c r="D80" t="s">
        <v>52</v>
      </c>
      <c r="E80" t="s">
        <v>28</v>
      </c>
      <c r="F80" t="s">
        <v>33</v>
      </c>
      <c r="G80">
        <v>253</v>
      </c>
      <c r="H80">
        <v>34</v>
      </c>
      <c r="I80">
        <v>205</v>
      </c>
      <c r="J80">
        <v>82</v>
      </c>
      <c r="K80" s="3">
        <v>26.93</v>
      </c>
      <c r="L80" s="3">
        <v>2208.2600000000002</v>
      </c>
      <c r="M80" t="s">
        <v>24</v>
      </c>
    </row>
    <row r="81" spans="1:13">
      <c r="A81" t="s">
        <v>147</v>
      </c>
      <c r="B81" s="2">
        <v>46185</v>
      </c>
      <c r="C81" t="s">
        <v>47</v>
      </c>
      <c r="D81" t="s">
        <v>48</v>
      </c>
      <c r="E81" t="s">
        <v>43</v>
      </c>
      <c r="F81" t="s">
        <v>44</v>
      </c>
      <c r="G81">
        <v>406</v>
      </c>
      <c r="H81">
        <v>113</v>
      </c>
      <c r="I81">
        <v>156</v>
      </c>
      <c r="J81">
        <v>363</v>
      </c>
      <c r="K81" s="3">
        <v>174.6</v>
      </c>
      <c r="L81" s="3">
        <v>63379.8</v>
      </c>
      <c r="M81" t="s">
        <v>24</v>
      </c>
    </row>
    <row r="82" spans="1:13">
      <c r="A82" t="s">
        <v>148</v>
      </c>
      <c r="B82" s="2">
        <v>46251</v>
      </c>
      <c r="C82" t="s">
        <v>62</v>
      </c>
      <c r="D82" t="s">
        <v>63</v>
      </c>
      <c r="E82" t="s">
        <v>37</v>
      </c>
      <c r="F82" t="s">
        <v>38</v>
      </c>
      <c r="G82">
        <v>479</v>
      </c>
      <c r="H82">
        <v>40</v>
      </c>
      <c r="I82">
        <v>190</v>
      </c>
      <c r="J82">
        <v>329</v>
      </c>
      <c r="K82" s="3">
        <v>61.44</v>
      </c>
      <c r="L82" s="3">
        <v>20213.759999999998</v>
      </c>
      <c r="M82" t="s">
        <v>18</v>
      </c>
    </row>
    <row r="83" spans="1:13">
      <c r="A83" t="s">
        <v>149</v>
      </c>
      <c r="B83" s="2">
        <v>46149</v>
      </c>
      <c r="C83" t="s">
        <v>26</v>
      </c>
      <c r="D83" t="s">
        <v>27</v>
      </c>
      <c r="E83" t="s">
        <v>28</v>
      </c>
      <c r="F83" t="s">
        <v>29</v>
      </c>
      <c r="G83">
        <v>450</v>
      </c>
      <c r="H83">
        <v>163</v>
      </c>
      <c r="I83">
        <v>70</v>
      </c>
      <c r="J83">
        <v>543</v>
      </c>
      <c r="K83" s="3">
        <v>124.97</v>
      </c>
      <c r="L83" s="3">
        <v>67858.710000000006</v>
      </c>
      <c r="M83" t="s">
        <v>24</v>
      </c>
    </row>
    <row r="84" spans="1:13">
      <c r="A84" t="s">
        <v>150</v>
      </c>
      <c r="B84" s="2">
        <v>46145</v>
      </c>
      <c r="C84" t="s">
        <v>124</v>
      </c>
      <c r="D84" t="s">
        <v>125</v>
      </c>
      <c r="E84" t="s">
        <v>22</v>
      </c>
      <c r="F84" t="s">
        <v>23</v>
      </c>
      <c r="G84">
        <v>160</v>
      </c>
      <c r="H84">
        <v>112</v>
      </c>
      <c r="I84">
        <v>19</v>
      </c>
      <c r="J84">
        <v>253</v>
      </c>
      <c r="K84" s="3">
        <v>159.21</v>
      </c>
      <c r="L84" s="3">
        <v>40280.129999999997</v>
      </c>
      <c r="M84" t="s">
        <v>49</v>
      </c>
    </row>
    <row r="85" spans="1:13">
      <c r="A85" t="s">
        <v>151</v>
      </c>
      <c r="B85" s="2">
        <v>46194</v>
      </c>
      <c r="C85" t="s">
        <v>26</v>
      </c>
      <c r="D85" t="s">
        <v>27</v>
      </c>
      <c r="E85" t="s">
        <v>28</v>
      </c>
      <c r="F85" t="s">
        <v>29</v>
      </c>
      <c r="G85">
        <v>183</v>
      </c>
      <c r="H85">
        <v>138</v>
      </c>
      <c r="I85">
        <v>20</v>
      </c>
      <c r="J85">
        <v>301</v>
      </c>
      <c r="K85" s="3">
        <v>112.94</v>
      </c>
      <c r="L85" s="3">
        <v>33994.94</v>
      </c>
      <c r="M85" t="s">
        <v>49</v>
      </c>
    </row>
    <row r="86" spans="1:13">
      <c r="A86" t="s">
        <v>152</v>
      </c>
      <c r="B86" s="2">
        <v>46101</v>
      </c>
      <c r="C86" t="s">
        <v>136</v>
      </c>
      <c r="D86" t="s">
        <v>137</v>
      </c>
      <c r="E86" t="s">
        <v>37</v>
      </c>
      <c r="F86" t="s">
        <v>38</v>
      </c>
      <c r="G86">
        <v>381</v>
      </c>
      <c r="H86">
        <v>54</v>
      </c>
      <c r="I86">
        <v>16</v>
      </c>
      <c r="J86">
        <v>419</v>
      </c>
      <c r="K86" s="3">
        <v>10.210000000000001</v>
      </c>
      <c r="L86" s="3">
        <v>4277.99</v>
      </c>
      <c r="M86" t="s">
        <v>18</v>
      </c>
    </row>
    <row r="87" spans="1:13">
      <c r="A87" t="s">
        <v>153</v>
      </c>
      <c r="B87" s="2">
        <v>46261</v>
      </c>
      <c r="C87" t="s">
        <v>47</v>
      </c>
      <c r="D87" t="s">
        <v>48</v>
      </c>
      <c r="E87" t="s">
        <v>43</v>
      </c>
      <c r="F87" t="s">
        <v>44</v>
      </c>
      <c r="G87">
        <v>232</v>
      </c>
      <c r="H87">
        <v>15</v>
      </c>
      <c r="I87">
        <v>52</v>
      </c>
      <c r="J87">
        <v>195</v>
      </c>
      <c r="K87" s="3">
        <v>175.08</v>
      </c>
      <c r="L87" s="3">
        <v>34140.6</v>
      </c>
      <c r="M87" t="s">
        <v>18</v>
      </c>
    </row>
    <row r="88" spans="1:13">
      <c r="A88" t="s">
        <v>154</v>
      </c>
      <c r="B88" s="2">
        <v>46033</v>
      </c>
      <c r="C88" t="s">
        <v>35</v>
      </c>
      <c r="D88" t="s">
        <v>36</v>
      </c>
      <c r="E88" t="s">
        <v>37</v>
      </c>
      <c r="F88" t="s">
        <v>38</v>
      </c>
      <c r="G88">
        <v>458</v>
      </c>
      <c r="H88">
        <v>147</v>
      </c>
      <c r="I88">
        <v>97</v>
      </c>
      <c r="J88">
        <v>508</v>
      </c>
      <c r="K88" s="3">
        <v>226.38</v>
      </c>
      <c r="L88" s="3">
        <v>115001.04</v>
      </c>
      <c r="M88" t="s">
        <v>18</v>
      </c>
    </row>
    <row r="89" spans="1:13">
      <c r="A89" t="s">
        <v>155</v>
      </c>
      <c r="B89" s="2">
        <v>46222</v>
      </c>
      <c r="C89" t="s">
        <v>71</v>
      </c>
      <c r="D89" t="s">
        <v>72</v>
      </c>
      <c r="E89" t="s">
        <v>22</v>
      </c>
      <c r="F89" t="s">
        <v>68</v>
      </c>
      <c r="G89">
        <v>456</v>
      </c>
      <c r="H89">
        <v>107</v>
      </c>
      <c r="I89">
        <v>137</v>
      </c>
      <c r="J89">
        <v>426</v>
      </c>
      <c r="K89" s="3">
        <v>11.7</v>
      </c>
      <c r="L89" s="3">
        <v>4984.2</v>
      </c>
      <c r="M89" t="s">
        <v>24</v>
      </c>
    </row>
    <row r="90" spans="1:13">
      <c r="A90" t="s">
        <v>156</v>
      </c>
      <c r="B90" s="2">
        <v>46135</v>
      </c>
      <c r="C90" t="s">
        <v>80</v>
      </c>
      <c r="D90" t="s">
        <v>81</v>
      </c>
      <c r="E90" t="s">
        <v>28</v>
      </c>
      <c r="F90" t="s">
        <v>33</v>
      </c>
      <c r="G90">
        <v>269</v>
      </c>
      <c r="H90">
        <v>56</v>
      </c>
      <c r="I90">
        <v>69</v>
      </c>
      <c r="J90">
        <v>256</v>
      </c>
      <c r="K90" s="3">
        <v>4.75</v>
      </c>
      <c r="L90" s="3">
        <v>1216</v>
      </c>
      <c r="M90" t="s">
        <v>49</v>
      </c>
    </row>
    <row r="91" spans="1:13">
      <c r="A91" t="s">
        <v>157</v>
      </c>
      <c r="B91" s="2">
        <v>46195</v>
      </c>
      <c r="C91" t="s">
        <v>136</v>
      </c>
      <c r="D91" t="s">
        <v>137</v>
      </c>
      <c r="E91" t="s">
        <v>37</v>
      </c>
      <c r="F91" t="s">
        <v>38</v>
      </c>
      <c r="G91">
        <v>362</v>
      </c>
      <c r="H91">
        <v>173</v>
      </c>
      <c r="I91">
        <v>204</v>
      </c>
      <c r="J91">
        <v>331</v>
      </c>
      <c r="K91" s="3">
        <v>10.19</v>
      </c>
      <c r="L91" s="3">
        <v>3372.89</v>
      </c>
      <c r="M91" t="s">
        <v>49</v>
      </c>
    </row>
    <row r="92" spans="1:13">
      <c r="A92" t="s">
        <v>158</v>
      </c>
      <c r="B92" s="2">
        <v>46088</v>
      </c>
      <c r="C92" t="s">
        <v>55</v>
      </c>
      <c r="D92" t="s">
        <v>56</v>
      </c>
      <c r="E92" t="s">
        <v>28</v>
      </c>
      <c r="F92" t="s">
        <v>29</v>
      </c>
      <c r="G92">
        <v>338</v>
      </c>
      <c r="H92">
        <v>136</v>
      </c>
      <c r="I92">
        <v>6</v>
      </c>
      <c r="J92">
        <v>468</v>
      </c>
      <c r="K92" s="3">
        <v>194.93</v>
      </c>
      <c r="L92" s="3">
        <v>91227.24</v>
      </c>
      <c r="M92" t="s">
        <v>24</v>
      </c>
    </row>
    <row r="93" spans="1:13">
      <c r="A93" t="s">
        <v>159</v>
      </c>
      <c r="B93" s="2">
        <v>46036</v>
      </c>
      <c r="C93" t="s">
        <v>35</v>
      </c>
      <c r="D93" t="s">
        <v>36</v>
      </c>
      <c r="E93" t="s">
        <v>37</v>
      </c>
      <c r="F93" t="s">
        <v>38</v>
      </c>
      <c r="G93">
        <v>62</v>
      </c>
      <c r="H93">
        <v>164</v>
      </c>
      <c r="I93">
        <v>109</v>
      </c>
      <c r="J93">
        <v>117</v>
      </c>
      <c r="K93" s="3">
        <v>213.97</v>
      </c>
      <c r="L93" s="3">
        <v>25034.49</v>
      </c>
      <c r="M93" t="s">
        <v>18</v>
      </c>
    </row>
    <row r="94" spans="1:13">
      <c r="A94" t="s">
        <v>160</v>
      </c>
      <c r="B94" s="2">
        <v>46048</v>
      </c>
      <c r="C94" t="s">
        <v>14</v>
      </c>
      <c r="D94" t="s">
        <v>15</v>
      </c>
      <c r="E94" t="s">
        <v>16</v>
      </c>
      <c r="F94" t="s">
        <v>17</v>
      </c>
      <c r="G94">
        <v>153</v>
      </c>
      <c r="H94">
        <v>97</v>
      </c>
      <c r="I94">
        <v>83</v>
      </c>
      <c r="J94">
        <v>167</v>
      </c>
      <c r="K94" s="3">
        <v>181.66</v>
      </c>
      <c r="L94" s="3">
        <v>30337.22</v>
      </c>
      <c r="M94" t="s">
        <v>18</v>
      </c>
    </row>
    <row r="95" spans="1:13">
      <c r="A95" t="s">
        <v>161</v>
      </c>
      <c r="B95" s="2">
        <v>46217</v>
      </c>
      <c r="C95" t="s">
        <v>66</v>
      </c>
      <c r="D95" t="s">
        <v>67</v>
      </c>
      <c r="E95" t="s">
        <v>16</v>
      </c>
      <c r="F95" t="s">
        <v>68</v>
      </c>
      <c r="G95">
        <v>162</v>
      </c>
      <c r="H95">
        <v>107</v>
      </c>
      <c r="I95">
        <v>64</v>
      </c>
      <c r="J95">
        <v>205</v>
      </c>
      <c r="K95" s="3">
        <v>66.97</v>
      </c>
      <c r="L95" s="3">
        <v>13728.85</v>
      </c>
      <c r="M95" t="s">
        <v>18</v>
      </c>
    </row>
    <row r="96" spans="1:13">
      <c r="A96" t="s">
        <v>162</v>
      </c>
      <c r="B96" s="2">
        <v>46049</v>
      </c>
      <c r="C96" t="s">
        <v>116</v>
      </c>
      <c r="D96" t="s">
        <v>117</v>
      </c>
      <c r="E96" t="s">
        <v>22</v>
      </c>
      <c r="F96" t="s">
        <v>23</v>
      </c>
      <c r="G96">
        <v>199</v>
      </c>
      <c r="H96">
        <v>57</v>
      </c>
      <c r="I96">
        <v>166</v>
      </c>
      <c r="J96">
        <v>90</v>
      </c>
      <c r="K96" s="3">
        <v>167.69</v>
      </c>
      <c r="L96" s="3">
        <v>15092.1</v>
      </c>
      <c r="M96" t="s">
        <v>24</v>
      </c>
    </row>
    <row r="97" spans="1:13">
      <c r="A97" t="s">
        <v>163</v>
      </c>
      <c r="B97" s="2">
        <v>46038</v>
      </c>
      <c r="C97" t="s">
        <v>86</v>
      </c>
      <c r="D97" t="s">
        <v>87</v>
      </c>
      <c r="E97" t="s">
        <v>43</v>
      </c>
      <c r="F97" t="s">
        <v>44</v>
      </c>
      <c r="G97">
        <v>146</v>
      </c>
      <c r="H97">
        <v>51</v>
      </c>
      <c r="I97">
        <v>5</v>
      </c>
      <c r="J97">
        <v>192</v>
      </c>
      <c r="K97" s="3">
        <v>10.119999999999999</v>
      </c>
      <c r="L97" s="3">
        <v>1943.04</v>
      </c>
      <c r="M97" t="s">
        <v>49</v>
      </c>
    </row>
    <row r="98" spans="1:13">
      <c r="A98" t="s">
        <v>164</v>
      </c>
      <c r="B98" s="2">
        <v>46265</v>
      </c>
      <c r="C98" t="s">
        <v>77</v>
      </c>
      <c r="D98" t="s">
        <v>78</v>
      </c>
      <c r="E98" t="s">
        <v>16</v>
      </c>
      <c r="F98" t="s">
        <v>17</v>
      </c>
      <c r="G98">
        <v>362</v>
      </c>
      <c r="H98">
        <v>29</v>
      </c>
      <c r="I98">
        <v>144</v>
      </c>
      <c r="J98">
        <v>247</v>
      </c>
      <c r="K98" s="3">
        <v>221.83</v>
      </c>
      <c r="L98" s="3">
        <v>54792.01</v>
      </c>
      <c r="M98" t="s">
        <v>18</v>
      </c>
    </row>
    <row r="99" spans="1:13">
      <c r="A99" t="s">
        <v>165</v>
      </c>
      <c r="B99" s="2">
        <v>46211</v>
      </c>
      <c r="C99" t="s">
        <v>26</v>
      </c>
      <c r="D99" t="s">
        <v>27</v>
      </c>
      <c r="E99" t="s">
        <v>28</v>
      </c>
      <c r="F99" t="s">
        <v>29</v>
      </c>
      <c r="G99">
        <v>105</v>
      </c>
      <c r="H99">
        <v>155</v>
      </c>
      <c r="I99">
        <v>155</v>
      </c>
      <c r="J99">
        <v>105</v>
      </c>
      <c r="K99" s="3">
        <v>128.77000000000001</v>
      </c>
      <c r="L99" s="3">
        <v>13520.85</v>
      </c>
      <c r="M99" t="s">
        <v>24</v>
      </c>
    </row>
    <row r="100" spans="1:13">
      <c r="A100" t="s">
        <v>166</v>
      </c>
      <c r="B100" s="2">
        <v>46106</v>
      </c>
      <c r="C100" t="s">
        <v>20</v>
      </c>
      <c r="D100" t="s">
        <v>21</v>
      </c>
      <c r="E100" t="s">
        <v>22</v>
      </c>
      <c r="F100" t="s">
        <v>23</v>
      </c>
      <c r="G100">
        <v>179</v>
      </c>
      <c r="H100">
        <v>27</v>
      </c>
      <c r="I100">
        <v>148</v>
      </c>
      <c r="J100">
        <v>58</v>
      </c>
      <c r="K100" s="3">
        <v>59.91</v>
      </c>
      <c r="L100" s="3">
        <v>3474.78</v>
      </c>
      <c r="M100" t="s">
        <v>18</v>
      </c>
    </row>
    <row r="101" spans="1:13">
      <c r="A101" t="s">
        <v>167</v>
      </c>
      <c r="B101" s="2">
        <v>46215</v>
      </c>
      <c r="C101" t="s">
        <v>35</v>
      </c>
      <c r="D101" t="s">
        <v>36</v>
      </c>
      <c r="E101" t="s">
        <v>37</v>
      </c>
      <c r="F101" t="s">
        <v>38</v>
      </c>
      <c r="G101">
        <v>223</v>
      </c>
      <c r="H101">
        <v>50</v>
      </c>
      <c r="I101">
        <v>19</v>
      </c>
      <c r="J101">
        <v>254</v>
      </c>
      <c r="K101" s="3">
        <v>230.56</v>
      </c>
      <c r="L101" s="3">
        <v>58562.239999999998</v>
      </c>
      <c r="M101" t="s">
        <v>24</v>
      </c>
    </row>
    <row r="102" spans="1:13">
      <c r="A102" t="s">
        <v>168</v>
      </c>
      <c r="B102" s="2">
        <v>46075</v>
      </c>
      <c r="C102" t="s">
        <v>51</v>
      </c>
      <c r="D102" t="s">
        <v>52</v>
      </c>
      <c r="E102" t="s">
        <v>28</v>
      </c>
      <c r="F102" t="s">
        <v>33</v>
      </c>
      <c r="G102">
        <v>376</v>
      </c>
      <c r="H102">
        <v>77</v>
      </c>
      <c r="I102">
        <v>217</v>
      </c>
      <c r="J102">
        <v>236</v>
      </c>
      <c r="K102" s="3">
        <v>27.88</v>
      </c>
      <c r="L102" s="3">
        <v>6579.68</v>
      </c>
      <c r="M102" t="s">
        <v>49</v>
      </c>
    </row>
    <row r="103" spans="1:13">
      <c r="A103" t="s">
        <v>169</v>
      </c>
      <c r="B103" s="2">
        <v>46044</v>
      </c>
      <c r="C103" t="s">
        <v>35</v>
      </c>
      <c r="D103" t="s">
        <v>36</v>
      </c>
      <c r="E103" t="s">
        <v>37</v>
      </c>
      <c r="F103" t="s">
        <v>38</v>
      </c>
      <c r="G103">
        <v>197</v>
      </c>
      <c r="H103">
        <v>136</v>
      </c>
      <c r="I103">
        <v>109</v>
      </c>
      <c r="J103">
        <v>224</v>
      </c>
      <c r="K103" s="3">
        <v>233.08</v>
      </c>
      <c r="L103" s="3">
        <v>52209.919999999998</v>
      </c>
      <c r="M103" t="s">
        <v>49</v>
      </c>
    </row>
    <row r="104" spans="1:13">
      <c r="A104" t="s">
        <v>170</v>
      </c>
      <c r="B104" s="2">
        <v>46197</v>
      </c>
      <c r="C104" t="s">
        <v>59</v>
      </c>
      <c r="D104" t="s">
        <v>60</v>
      </c>
      <c r="E104" t="s">
        <v>16</v>
      </c>
      <c r="F104" t="s">
        <v>17</v>
      </c>
      <c r="G104">
        <v>26</v>
      </c>
      <c r="H104">
        <v>107</v>
      </c>
      <c r="I104">
        <v>125</v>
      </c>
      <c r="J104">
        <v>8</v>
      </c>
      <c r="K104" s="3">
        <v>60.02</v>
      </c>
      <c r="L104" s="3">
        <v>480.16</v>
      </c>
      <c r="M104" t="s">
        <v>18</v>
      </c>
    </row>
    <row r="105" spans="1:13">
      <c r="A105" t="s">
        <v>171</v>
      </c>
      <c r="B105" s="2">
        <v>46101</v>
      </c>
      <c r="C105" t="s">
        <v>55</v>
      </c>
      <c r="D105" t="s">
        <v>56</v>
      </c>
      <c r="E105" t="s">
        <v>28</v>
      </c>
      <c r="F105" t="s">
        <v>29</v>
      </c>
      <c r="G105">
        <v>242</v>
      </c>
      <c r="H105">
        <v>45</v>
      </c>
      <c r="I105">
        <v>187</v>
      </c>
      <c r="J105">
        <v>100</v>
      </c>
      <c r="K105" s="3">
        <v>183.65</v>
      </c>
      <c r="L105" s="3">
        <v>18365</v>
      </c>
      <c r="M105" t="s">
        <v>24</v>
      </c>
    </row>
    <row r="106" spans="1:13">
      <c r="A106" t="s">
        <v>172</v>
      </c>
      <c r="B106" s="2">
        <v>46270</v>
      </c>
      <c r="C106" t="s">
        <v>26</v>
      </c>
      <c r="D106" t="s">
        <v>27</v>
      </c>
      <c r="E106" t="s">
        <v>28</v>
      </c>
      <c r="F106" t="s">
        <v>29</v>
      </c>
      <c r="G106">
        <v>258</v>
      </c>
      <c r="H106">
        <v>111</v>
      </c>
      <c r="I106">
        <v>211</v>
      </c>
      <c r="J106">
        <v>158</v>
      </c>
      <c r="K106" s="3">
        <v>124.3</v>
      </c>
      <c r="L106" s="3">
        <v>19639.400000000001</v>
      </c>
      <c r="M106" t="s">
        <v>18</v>
      </c>
    </row>
    <row r="107" spans="1:13">
      <c r="A107" t="s">
        <v>173</v>
      </c>
      <c r="B107" s="2">
        <v>46148</v>
      </c>
      <c r="C107" t="s">
        <v>66</v>
      </c>
      <c r="D107" t="s">
        <v>67</v>
      </c>
      <c r="E107" t="s">
        <v>16</v>
      </c>
      <c r="F107" t="s">
        <v>68</v>
      </c>
      <c r="G107">
        <v>445</v>
      </c>
      <c r="H107">
        <v>22</v>
      </c>
      <c r="I107">
        <v>71</v>
      </c>
      <c r="J107">
        <v>396</v>
      </c>
      <c r="K107" s="3">
        <v>67.44</v>
      </c>
      <c r="L107" s="3">
        <v>26706.240000000002</v>
      </c>
      <c r="M107" t="s">
        <v>49</v>
      </c>
    </row>
    <row r="108" spans="1:13">
      <c r="A108" t="s">
        <v>174</v>
      </c>
      <c r="B108" s="2">
        <v>46217</v>
      </c>
      <c r="C108" t="s">
        <v>55</v>
      </c>
      <c r="D108" t="s">
        <v>56</v>
      </c>
      <c r="E108" t="s">
        <v>28</v>
      </c>
      <c r="F108" t="s">
        <v>29</v>
      </c>
      <c r="G108">
        <v>192</v>
      </c>
      <c r="H108">
        <v>7</v>
      </c>
      <c r="I108">
        <v>126</v>
      </c>
      <c r="J108">
        <v>73</v>
      </c>
      <c r="K108" s="3">
        <v>193.29</v>
      </c>
      <c r="L108" s="3">
        <v>14110.17</v>
      </c>
      <c r="M108" t="s">
        <v>49</v>
      </c>
    </row>
    <row r="109" spans="1:13">
      <c r="A109" t="s">
        <v>175</v>
      </c>
      <c r="B109" s="2">
        <v>46131</v>
      </c>
      <c r="C109" t="s">
        <v>124</v>
      </c>
      <c r="D109" t="s">
        <v>125</v>
      </c>
      <c r="E109" t="s">
        <v>22</v>
      </c>
      <c r="F109" t="s">
        <v>23</v>
      </c>
      <c r="G109">
        <v>201</v>
      </c>
      <c r="H109">
        <v>66</v>
      </c>
      <c r="I109">
        <v>87</v>
      </c>
      <c r="J109">
        <v>180</v>
      </c>
      <c r="K109" s="3">
        <v>148.52000000000001</v>
      </c>
      <c r="L109" s="3">
        <v>26733.599999999999</v>
      </c>
      <c r="M109" t="s">
        <v>24</v>
      </c>
    </row>
    <row r="110" spans="1:13">
      <c r="A110" t="s">
        <v>176</v>
      </c>
      <c r="B110" s="2">
        <v>46028</v>
      </c>
      <c r="C110" t="s">
        <v>26</v>
      </c>
      <c r="D110" t="s">
        <v>27</v>
      </c>
      <c r="E110" t="s">
        <v>28</v>
      </c>
      <c r="F110" t="s">
        <v>29</v>
      </c>
      <c r="G110">
        <v>284</v>
      </c>
      <c r="H110">
        <v>48</v>
      </c>
      <c r="I110">
        <v>21</v>
      </c>
      <c r="J110">
        <v>311</v>
      </c>
      <c r="K110" s="3">
        <v>114.91</v>
      </c>
      <c r="L110" s="3">
        <v>35737.01</v>
      </c>
      <c r="M110" t="s">
        <v>18</v>
      </c>
    </row>
    <row r="111" spans="1:13">
      <c r="A111" t="s">
        <v>177</v>
      </c>
      <c r="B111" s="2">
        <v>46146</v>
      </c>
      <c r="C111" t="s">
        <v>124</v>
      </c>
      <c r="D111" t="s">
        <v>125</v>
      </c>
      <c r="E111" t="s">
        <v>22</v>
      </c>
      <c r="F111" t="s">
        <v>23</v>
      </c>
      <c r="G111">
        <v>373</v>
      </c>
      <c r="H111">
        <v>121</v>
      </c>
      <c r="I111">
        <v>165</v>
      </c>
      <c r="J111">
        <v>329</v>
      </c>
      <c r="K111" s="3">
        <v>159.16999999999999</v>
      </c>
      <c r="L111" s="3">
        <v>52366.93</v>
      </c>
      <c r="M111" t="s">
        <v>18</v>
      </c>
    </row>
    <row r="112" spans="1:13">
      <c r="A112" t="s">
        <v>178</v>
      </c>
      <c r="B112" s="2">
        <v>46070</v>
      </c>
      <c r="C112" t="s">
        <v>116</v>
      </c>
      <c r="D112" t="s">
        <v>117</v>
      </c>
      <c r="E112" t="s">
        <v>22</v>
      </c>
      <c r="F112" t="s">
        <v>23</v>
      </c>
      <c r="G112">
        <v>170</v>
      </c>
      <c r="H112">
        <v>56</v>
      </c>
      <c r="I112">
        <v>103</v>
      </c>
      <c r="J112">
        <v>123</v>
      </c>
      <c r="K112" s="3">
        <v>185.65</v>
      </c>
      <c r="L112" s="3">
        <v>22834.95</v>
      </c>
      <c r="M112" t="s">
        <v>18</v>
      </c>
    </row>
    <row r="113" spans="1:13">
      <c r="A113" t="s">
        <v>179</v>
      </c>
      <c r="B113" s="2">
        <v>46211</v>
      </c>
      <c r="C113" t="s">
        <v>35</v>
      </c>
      <c r="D113" t="s">
        <v>36</v>
      </c>
      <c r="E113" t="s">
        <v>37</v>
      </c>
      <c r="F113" t="s">
        <v>38</v>
      </c>
      <c r="G113">
        <v>262</v>
      </c>
      <c r="H113">
        <v>141</v>
      </c>
      <c r="I113">
        <v>135</v>
      </c>
      <c r="J113">
        <v>268</v>
      </c>
      <c r="K113" s="3">
        <v>221.53</v>
      </c>
      <c r="L113" s="3">
        <v>59370.04</v>
      </c>
      <c r="M113" t="s">
        <v>24</v>
      </c>
    </row>
    <row r="114" spans="1:13">
      <c r="A114" t="s">
        <v>180</v>
      </c>
      <c r="B114" s="2">
        <v>46192</v>
      </c>
      <c r="C114" t="s">
        <v>47</v>
      </c>
      <c r="D114" t="s">
        <v>48</v>
      </c>
      <c r="E114" t="s">
        <v>43</v>
      </c>
      <c r="F114" t="s">
        <v>44</v>
      </c>
      <c r="G114">
        <v>200</v>
      </c>
      <c r="H114">
        <v>179</v>
      </c>
      <c r="I114">
        <v>116</v>
      </c>
      <c r="J114">
        <v>263</v>
      </c>
      <c r="K114" s="3">
        <v>160.13</v>
      </c>
      <c r="L114" s="3">
        <v>42114.19</v>
      </c>
      <c r="M114" t="s">
        <v>18</v>
      </c>
    </row>
    <row r="115" spans="1:13">
      <c r="A115" t="s">
        <v>181</v>
      </c>
      <c r="B115" s="2">
        <v>46084</v>
      </c>
      <c r="C115" t="s">
        <v>51</v>
      </c>
      <c r="D115" t="s">
        <v>52</v>
      </c>
      <c r="E115" t="s">
        <v>28</v>
      </c>
      <c r="F115" t="s">
        <v>33</v>
      </c>
      <c r="G115">
        <v>389</v>
      </c>
      <c r="H115">
        <v>49</v>
      </c>
      <c r="I115">
        <v>80</v>
      </c>
      <c r="J115">
        <v>358</v>
      </c>
      <c r="K115" s="3">
        <v>25.43</v>
      </c>
      <c r="L115" s="3">
        <v>9103.94</v>
      </c>
      <c r="M115" t="s">
        <v>24</v>
      </c>
    </row>
    <row r="116" spans="1:13">
      <c r="A116" t="s">
        <v>182</v>
      </c>
      <c r="B116" s="2">
        <v>46121</v>
      </c>
      <c r="C116" t="s">
        <v>14</v>
      </c>
      <c r="D116" t="s">
        <v>15</v>
      </c>
      <c r="E116" t="s">
        <v>16</v>
      </c>
      <c r="F116" t="s">
        <v>17</v>
      </c>
      <c r="G116">
        <v>130</v>
      </c>
      <c r="H116">
        <v>123</v>
      </c>
      <c r="I116">
        <v>70</v>
      </c>
      <c r="J116">
        <v>183</v>
      </c>
      <c r="K116" s="3">
        <v>197.29</v>
      </c>
      <c r="L116" s="3">
        <v>36104.07</v>
      </c>
      <c r="M116" t="s">
        <v>24</v>
      </c>
    </row>
    <row r="117" spans="1:13">
      <c r="A117" t="s">
        <v>183</v>
      </c>
      <c r="B117" s="2">
        <v>46167</v>
      </c>
      <c r="C117" t="s">
        <v>80</v>
      </c>
      <c r="D117" t="s">
        <v>81</v>
      </c>
      <c r="E117" t="s">
        <v>184</v>
      </c>
      <c r="F117" t="s">
        <v>33</v>
      </c>
      <c r="G117">
        <v>71</v>
      </c>
      <c r="H117">
        <v>49</v>
      </c>
      <c r="I117">
        <v>37</v>
      </c>
      <c r="J117">
        <v>83</v>
      </c>
      <c r="K117" s="3">
        <v>4.59</v>
      </c>
      <c r="L117" s="3">
        <v>380.97</v>
      </c>
      <c r="M117" t="s">
        <v>49</v>
      </c>
    </row>
    <row r="118" spans="1:13">
      <c r="A118" t="s">
        <v>185</v>
      </c>
      <c r="B118" s="2">
        <v>46030</v>
      </c>
      <c r="C118" t="s">
        <v>71</v>
      </c>
      <c r="D118" t="s">
        <v>72</v>
      </c>
      <c r="E118" t="s">
        <v>22</v>
      </c>
      <c r="F118" t="s">
        <v>68</v>
      </c>
      <c r="G118">
        <v>382</v>
      </c>
      <c r="H118">
        <v>136</v>
      </c>
      <c r="I118">
        <v>32</v>
      </c>
      <c r="J118">
        <v>486</v>
      </c>
      <c r="K118" s="3">
        <v>10.85</v>
      </c>
      <c r="L118" s="3">
        <v>5273.1</v>
      </c>
      <c r="M118" t="s">
        <v>49</v>
      </c>
    </row>
    <row r="119" spans="1:13">
      <c r="A119" t="s">
        <v>186</v>
      </c>
      <c r="B119" s="2">
        <v>46172</v>
      </c>
      <c r="C119" t="s">
        <v>47</v>
      </c>
      <c r="D119" t="s">
        <v>48</v>
      </c>
      <c r="E119" t="s">
        <v>43</v>
      </c>
      <c r="F119" t="s">
        <v>44</v>
      </c>
      <c r="G119">
        <v>377</v>
      </c>
      <c r="H119">
        <v>32</v>
      </c>
      <c r="I119">
        <v>163</v>
      </c>
      <c r="J119">
        <v>246</v>
      </c>
      <c r="K119" s="3">
        <v>176.03</v>
      </c>
      <c r="L119" s="3">
        <v>43303.38</v>
      </c>
      <c r="M119" t="s">
        <v>18</v>
      </c>
    </row>
    <row r="120" spans="1:13">
      <c r="A120" t="s">
        <v>187</v>
      </c>
      <c r="B120" s="2">
        <v>46029</v>
      </c>
      <c r="C120" t="s">
        <v>20</v>
      </c>
      <c r="D120" t="s">
        <v>21</v>
      </c>
      <c r="E120" t="s">
        <v>22</v>
      </c>
      <c r="F120" t="s">
        <v>23</v>
      </c>
      <c r="G120">
        <v>313</v>
      </c>
      <c r="H120">
        <v>72</v>
      </c>
      <c r="I120">
        <v>120</v>
      </c>
      <c r="J120">
        <v>265</v>
      </c>
      <c r="K120" s="3">
        <v>64.61</v>
      </c>
      <c r="L120" s="3">
        <v>17121.650000000001</v>
      </c>
      <c r="M120" t="s">
        <v>18</v>
      </c>
    </row>
    <row r="121" spans="1:13">
      <c r="A121" t="s">
        <v>188</v>
      </c>
      <c r="B121" s="2">
        <v>46049</v>
      </c>
      <c r="C121" t="s">
        <v>14</v>
      </c>
      <c r="D121" t="s">
        <v>15</v>
      </c>
      <c r="E121" t="s">
        <v>16</v>
      </c>
      <c r="F121" t="s">
        <v>17</v>
      </c>
      <c r="G121">
        <v>149</v>
      </c>
      <c r="H121">
        <v>122</v>
      </c>
      <c r="I121">
        <v>29</v>
      </c>
      <c r="J121">
        <v>242</v>
      </c>
      <c r="K121" s="3">
        <v>200.26</v>
      </c>
      <c r="L121" s="3">
        <v>48462.92</v>
      </c>
      <c r="M121" t="s">
        <v>18</v>
      </c>
    </row>
    <row r="122" spans="1:13">
      <c r="A122" t="s">
        <v>189</v>
      </c>
      <c r="B122" s="2">
        <v>46060</v>
      </c>
      <c r="C122" t="s">
        <v>124</v>
      </c>
      <c r="D122" t="s">
        <v>125</v>
      </c>
      <c r="E122" t="s">
        <v>22</v>
      </c>
      <c r="F122" t="s">
        <v>23</v>
      </c>
      <c r="G122">
        <v>315</v>
      </c>
      <c r="H122">
        <v>161</v>
      </c>
      <c r="I122">
        <v>175</v>
      </c>
      <c r="J122">
        <v>301</v>
      </c>
      <c r="K122" s="3">
        <v>142.94999999999999</v>
      </c>
      <c r="L122" s="3">
        <v>43027.95</v>
      </c>
      <c r="M122" t="s">
        <v>49</v>
      </c>
    </row>
    <row r="123" spans="1:13">
      <c r="A123" t="s">
        <v>190</v>
      </c>
      <c r="B123" s="2">
        <v>46178</v>
      </c>
      <c r="C123" t="s">
        <v>35</v>
      </c>
      <c r="D123" t="s">
        <v>36</v>
      </c>
      <c r="E123" t="s">
        <v>37</v>
      </c>
      <c r="F123" t="s">
        <v>38</v>
      </c>
      <c r="G123">
        <v>63</v>
      </c>
      <c r="H123">
        <v>63</v>
      </c>
      <c r="I123">
        <v>15</v>
      </c>
      <c r="J123">
        <v>111</v>
      </c>
      <c r="K123" s="3">
        <v>229.32</v>
      </c>
      <c r="L123" s="3">
        <v>25454.52</v>
      </c>
      <c r="M123" t="s">
        <v>18</v>
      </c>
    </row>
    <row r="124" spans="1:13">
      <c r="A124" t="s">
        <v>191</v>
      </c>
      <c r="B124" s="2">
        <v>46138</v>
      </c>
      <c r="C124" t="s">
        <v>80</v>
      </c>
      <c r="D124" t="s">
        <v>81</v>
      </c>
      <c r="E124" t="s">
        <v>28</v>
      </c>
      <c r="F124" t="s">
        <v>33</v>
      </c>
      <c r="G124">
        <v>417</v>
      </c>
      <c r="H124">
        <v>133</v>
      </c>
      <c r="I124">
        <v>97</v>
      </c>
      <c r="J124">
        <v>453</v>
      </c>
      <c r="K124" s="3">
        <v>4.76</v>
      </c>
      <c r="L124" s="3">
        <v>2156.2800000000002</v>
      </c>
      <c r="M124" t="s">
        <v>18</v>
      </c>
    </row>
    <row r="125" spans="1:13">
      <c r="A125" t="s">
        <v>192</v>
      </c>
      <c r="B125" s="2">
        <v>46242</v>
      </c>
      <c r="C125" t="s">
        <v>71</v>
      </c>
      <c r="D125" t="s">
        <v>72</v>
      </c>
      <c r="E125" t="s">
        <v>22</v>
      </c>
      <c r="F125" t="s">
        <v>68</v>
      </c>
      <c r="G125">
        <v>176</v>
      </c>
      <c r="H125">
        <v>145</v>
      </c>
      <c r="I125">
        <v>158</v>
      </c>
      <c r="J125">
        <v>163</v>
      </c>
      <c r="K125" s="3">
        <v>10.46</v>
      </c>
      <c r="L125" s="3">
        <v>1704.98</v>
      </c>
      <c r="M125" t="s">
        <v>24</v>
      </c>
    </row>
    <row r="126" spans="1:13">
      <c r="A126" t="s">
        <v>193</v>
      </c>
      <c r="B126" s="2">
        <v>46129</v>
      </c>
      <c r="C126" t="s">
        <v>20</v>
      </c>
      <c r="D126" t="s">
        <v>21</v>
      </c>
      <c r="E126" t="s">
        <v>22</v>
      </c>
      <c r="F126" t="s">
        <v>23</v>
      </c>
      <c r="G126">
        <v>340</v>
      </c>
      <c r="H126">
        <v>54</v>
      </c>
      <c r="I126">
        <v>67</v>
      </c>
      <c r="J126">
        <v>327</v>
      </c>
      <c r="K126" s="3">
        <v>66.489999999999995</v>
      </c>
      <c r="L126" s="3">
        <v>21742.23</v>
      </c>
      <c r="M126" t="s">
        <v>49</v>
      </c>
    </row>
    <row r="127" spans="1:13">
      <c r="A127" t="s">
        <v>194</v>
      </c>
      <c r="B127" s="2">
        <v>46111</v>
      </c>
      <c r="C127" t="s">
        <v>51</v>
      </c>
      <c r="D127" t="s">
        <v>52</v>
      </c>
      <c r="E127" t="s">
        <v>28</v>
      </c>
      <c r="F127" t="s">
        <v>33</v>
      </c>
      <c r="G127">
        <v>302</v>
      </c>
      <c r="H127">
        <v>19</v>
      </c>
      <c r="I127">
        <v>40</v>
      </c>
      <c r="J127">
        <v>281</v>
      </c>
      <c r="K127" s="3">
        <v>24.93</v>
      </c>
      <c r="L127" s="3">
        <v>7005.33</v>
      </c>
      <c r="M127" t="s">
        <v>18</v>
      </c>
    </row>
    <row r="128" spans="1:13">
      <c r="A128" t="s">
        <v>195</v>
      </c>
      <c r="B128" s="2">
        <v>46263</v>
      </c>
      <c r="C128" t="s">
        <v>80</v>
      </c>
      <c r="D128" t="s">
        <v>81</v>
      </c>
      <c r="E128" t="s">
        <v>28</v>
      </c>
      <c r="F128" t="s">
        <v>33</v>
      </c>
      <c r="G128">
        <v>169</v>
      </c>
      <c r="H128">
        <v>8</v>
      </c>
      <c r="I128">
        <v>59</v>
      </c>
      <c r="J128">
        <v>118</v>
      </c>
      <c r="K128" s="3">
        <v>4.6399999999999997</v>
      </c>
      <c r="L128" s="3">
        <v>547.52</v>
      </c>
      <c r="M128" t="s">
        <v>18</v>
      </c>
    </row>
    <row r="129" spans="1:13">
      <c r="A129" t="s">
        <v>196</v>
      </c>
      <c r="B129" s="2">
        <v>46059</v>
      </c>
      <c r="C129" t="s">
        <v>55</v>
      </c>
      <c r="D129" t="s">
        <v>56</v>
      </c>
      <c r="E129" t="s">
        <v>28</v>
      </c>
      <c r="F129" t="s">
        <v>29</v>
      </c>
      <c r="G129">
        <v>371</v>
      </c>
      <c r="H129">
        <v>59</v>
      </c>
      <c r="I129">
        <v>67</v>
      </c>
      <c r="J129">
        <v>363</v>
      </c>
      <c r="K129" s="3">
        <v>191.45</v>
      </c>
      <c r="L129" s="3">
        <v>69496.350000000006</v>
      </c>
      <c r="M129" t="s">
        <v>24</v>
      </c>
    </row>
    <row r="130" spans="1:13">
      <c r="A130" t="s">
        <v>197</v>
      </c>
      <c r="B130" s="2">
        <v>46124</v>
      </c>
      <c r="C130" t="s">
        <v>35</v>
      </c>
      <c r="D130" t="s">
        <v>36</v>
      </c>
      <c r="E130" t="s">
        <v>37</v>
      </c>
      <c r="F130" t="s">
        <v>38</v>
      </c>
      <c r="G130">
        <v>237</v>
      </c>
      <c r="H130">
        <v>29</v>
      </c>
      <c r="I130">
        <v>139</v>
      </c>
      <c r="J130">
        <v>127</v>
      </c>
      <c r="K130" s="3">
        <v>217.21</v>
      </c>
      <c r="L130" s="3">
        <v>27585.67</v>
      </c>
      <c r="M130" t="s">
        <v>49</v>
      </c>
    </row>
    <row r="131" spans="1:13">
      <c r="A131" t="s">
        <v>198</v>
      </c>
      <c r="B131" s="2">
        <v>46095</v>
      </c>
      <c r="C131" t="s">
        <v>26</v>
      </c>
      <c r="D131" t="s">
        <v>27</v>
      </c>
      <c r="E131" t="s">
        <v>28</v>
      </c>
      <c r="F131" t="s">
        <v>29</v>
      </c>
      <c r="G131">
        <v>56</v>
      </c>
      <c r="H131">
        <v>15</v>
      </c>
      <c r="I131">
        <v>21</v>
      </c>
      <c r="J131">
        <v>50</v>
      </c>
      <c r="K131" s="3">
        <v>125.48</v>
      </c>
      <c r="L131" s="3">
        <v>6274</v>
      </c>
      <c r="M131" t="s">
        <v>24</v>
      </c>
    </row>
    <row r="132" spans="1:13">
      <c r="A132" t="s">
        <v>199</v>
      </c>
      <c r="B132" s="2">
        <v>46170</v>
      </c>
      <c r="C132" t="s">
        <v>35</v>
      </c>
      <c r="D132" t="s">
        <v>36</v>
      </c>
      <c r="E132" t="s">
        <v>37</v>
      </c>
      <c r="F132" t="s">
        <v>38</v>
      </c>
      <c r="G132">
        <v>244</v>
      </c>
      <c r="H132">
        <v>31</v>
      </c>
      <c r="I132">
        <v>119</v>
      </c>
      <c r="J132">
        <v>156</v>
      </c>
      <c r="K132" s="3">
        <v>234.07</v>
      </c>
      <c r="L132" s="3">
        <v>36514.92</v>
      </c>
      <c r="M132" t="s">
        <v>24</v>
      </c>
    </row>
    <row r="133" spans="1:13">
      <c r="A133" t="s">
        <v>200</v>
      </c>
      <c r="B133" s="2">
        <v>46162</v>
      </c>
      <c r="C133" t="s">
        <v>136</v>
      </c>
      <c r="D133" t="s">
        <v>137</v>
      </c>
      <c r="E133" t="s">
        <v>37</v>
      </c>
      <c r="F133" t="s">
        <v>38</v>
      </c>
      <c r="G133">
        <v>276</v>
      </c>
      <c r="H133">
        <v>138</v>
      </c>
      <c r="I133">
        <v>126</v>
      </c>
      <c r="J133">
        <v>288</v>
      </c>
      <c r="K133" s="3">
        <v>10.25</v>
      </c>
      <c r="L133" s="3">
        <v>2952</v>
      </c>
      <c r="M133" t="s">
        <v>24</v>
      </c>
    </row>
    <row r="134" spans="1:13">
      <c r="A134" t="s">
        <v>201</v>
      </c>
      <c r="B134" s="2">
        <v>46244</v>
      </c>
      <c r="C134" t="s">
        <v>86</v>
      </c>
      <c r="D134" t="s">
        <v>87</v>
      </c>
      <c r="E134" t="s">
        <v>43</v>
      </c>
      <c r="F134" t="s">
        <v>44</v>
      </c>
      <c r="G134">
        <v>396</v>
      </c>
      <c r="H134">
        <v>82</v>
      </c>
      <c r="I134">
        <v>154</v>
      </c>
      <c r="J134">
        <v>324</v>
      </c>
      <c r="K134" s="3">
        <v>9.5299999999999994</v>
      </c>
      <c r="L134" s="3">
        <v>3087.72</v>
      </c>
      <c r="M134" t="s">
        <v>49</v>
      </c>
    </row>
    <row r="135" spans="1:13">
      <c r="A135" t="s">
        <v>202</v>
      </c>
      <c r="B135" s="2">
        <v>46033</v>
      </c>
      <c r="C135" t="s">
        <v>51</v>
      </c>
      <c r="D135" t="s">
        <v>52</v>
      </c>
      <c r="E135" t="s">
        <v>28</v>
      </c>
      <c r="F135" t="s">
        <v>33</v>
      </c>
      <c r="G135">
        <v>411</v>
      </c>
      <c r="H135">
        <v>172</v>
      </c>
      <c r="I135">
        <v>210</v>
      </c>
      <c r="J135">
        <v>373</v>
      </c>
      <c r="K135" s="3">
        <v>26.08</v>
      </c>
      <c r="L135" s="3">
        <v>9727.84</v>
      </c>
      <c r="M135" t="s">
        <v>49</v>
      </c>
    </row>
    <row r="136" spans="1:13">
      <c r="A136" t="s">
        <v>203</v>
      </c>
      <c r="B136" s="2">
        <v>46263</v>
      </c>
      <c r="C136" t="s">
        <v>14</v>
      </c>
      <c r="D136" t="s">
        <v>15</v>
      </c>
      <c r="E136" t="s">
        <v>16</v>
      </c>
      <c r="F136" t="s">
        <v>17</v>
      </c>
      <c r="G136">
        <v>285</v>
      </c>
      <c r="H136">
        <v>166</v>
      </c>
      <c r="I136">
        <v>113</v>
      </c>
      <c r="J136">
        <v>338</v>
      </c>
      <c r="K136" s="3">
        <v>203.12</v>
      </c>
      <c r="L136" s="3">
        <v>68654.559999999998</v>
      </c>
      <c r="M136" t="s">
        <v>49</v>
      </c>
    </row>
    <row r="137" spans="1:13">
      <c r="A137" t="s">
        <v>204</v>
      </c>
      <c r="B137" s="2">
        <v>46246</v>
      </c>
      <c r="C137" t="s">
        <v>35</v>
      </c>
      <c r="D137" t="s">
        <v>36</v>
      </c>
      <c r="E137" t="s">
        <v>37</v>
      </c>
      <c r="F137" t="s">
        <v>38</v>
      </c>
      <c r="G137">
        <v>345</v>
      </c>
      <c r="H137">
        <v>125</v>
      </c>
      <c r="I137">
        <v>23</v>
      </c>
      <c r="J137">
        <v>447</v>
      </c>
      <c r="K137" s="3">
        <v>226.12</v>
      </c>
      <c r="L137" s="3">
        <v>101075.64</v>
      </c>
      <c r="M137" t="s">
        <v>18</v>
      </c>
    </row>
    <row r="138" spans="1:13">
      <c r="A138" t="s">
        <v>205</v>
      </c>
      <c r="B138" s="2">
        <v>46187</v>
      </c>
      <c r="C138" t="s">
        <v>66</v>
      </c>
      <c r="D138" t="s">
        <v>67</v>
      </c>
      <c r="E138" t="s">
        <v>16</v>
      </c>
      <c r="F138" t="s">
        <v>68</v>
      </c>
      <c r="G138">
        <v>363</v>
      </c>
      <c r="H138">
        <v>26</v>
      </c>
      <c r="I138">
        <v>219</v>
      </c>
      <c r="J138">
        <v>170</v>
      </c>
      <c r="K138" s="3">
        <v>60.11</v>
      </c>
      <c r="L138" s="3">
        <v>10218.700000000001</v>
      </c>
      <c r="M138" t="s">
        <v>18</v>
      </c>
    </row>
    <row r="139" spans="1:13">
      <c r="A139" t="s">
        <v>206</v>
      </c>
      <c r="B139" s="2">
        <v>46170</v>
      </c>
      <c r="C139" t="s">
        <v>124</v>
      </c>
      <c r="D139" t="s">
        <v>125</v>
      </c>
      <c r="E139" t="s">
        <v>22</v>
      </c>
      <c r="F139" t="s">
        <v>23</v>
      </c>
      <c r="G139">
        <v>359</v>
      </c>
      <c r="H139">
        <v>102</v>
      </c>
      <c r="I139">
        <v>208</v>
      </c>
      <c r="J139">
        <v>253</v>
      </c>
      <c r="K139" s="3">
        <v>160.37</v>
      </c>
      <c r="L139" s="3">
        <v>40573.61</v>
      </c>
      <c r="M139" t="s">
        <v>49</v>
      </c>
    </row>
    <row r="140" spans="1:13">
      <c r="A140" t="s">
        <v>207</v>
      </c>
      <c r="B140" s="2">
        <v>46068</v>
      </c>
      <c r="C140" t="s">
        <v>55</v>
      </c>
      <c r="D140" t="s">
        <v>56</v>
      </c>
      <c r="E140" t="s">
        <v>28</v>
      </c>
      <c r="F140" t="s">
        <v>29</v>
      </c>
      <c r="G140">
        <v>181</v>
      </c>
      <c r="H140">
        <v>64</v>
      </c>
      <c r="I140">
        <v>82</v>
      </c>
      <c r="J140">
        <v>163</v>
      </c>
      <c r="K140" s="3">
        <v>171.77</v>
      </c>
      <c r="L140" s="3">
        <v>27998.51</v>
      </c>
      <c r="M140" t="s">
        <v>18</v>
      </c>
    </row>
    <row r="141" spans="1:13">
      <c r="A141" t="s">
        <v>208</v>
      </c>
      <c r="B141" s="2">
        <v>46023</v>
      </c>
      <c r="C141" t="s">
        <v>59</v>
      </c>
      <c r="D141" t="s">
        <v>60</v>
      </c>
      <c r="E141" t="s">
        <v>16</v>
      </c>
      <c r="F141" t="s">
        <v>17</v>
      </c>
      <c r="G141">
        <v>356</v>
      </c>
      <c r="H141">
        <v>138</v>
      </c>
      <c r="I141">
        <v>118</v>
      </c>
      <c r="J141">
        <v>376</v>
      </c>
      <c r="K141" s="3">
        <v>63.17</v>
      </c>
      <c r="L141" s="3">
        <v>23751.919999999998</v>
      </c>
      <c r="M141" t="s">
        <v>49</v>
      </c>
    </row>
    <row r="142" spans="1:13">
      <c r="A142" t="s">
        <v>209</v>
      </c>
      <c r="B142" s="2">
        <v>46208</v>
      </c>
      <c r="C142" t="s">
        <v>59</v>
      </c>
      <c r="D142" t="s">
        <v>60</v>
      </c>
      <c r="E142" t="s">
        <v>16</v>
      </c>
      <c r="F142" t="s">
        <v>17</v>
      </c>
      <c r="G142">
        <v>338</v>
      </c>
      <c r="H142">
        <v>127</v>
      </c>
      <c r="I142">
        <v>160</v>
      </c>
      <c r="J142">
        <v>305</v>
      </c>
      <c r="K142" s="3">
        <v>63.47</v>
      </c>
      <c r="L142" s="3">
        <v>19358.349999999999</v>
      </c>
      <c r="M142" t="s">
        <v>49</v>
      </c>
    </row>
    <row r="143" spans="1:13">
      <c r="A143" t="s">
        <v>210</v>
      </c>
      <c r="B143" s="2">
        <v>46159</v>
      </c>
      <c r="C143" t="s">
        <v>99</v>
      </c>
      <c r="D143" t="s">
        <v>100</v>
      </c>
      <c r="E143" t="s">
        <v>43</v>
      </c>
      <c r="F143" t="s">
        <v>44</v>
      </c>
      <c r="G143">
        <v>301</v>
      </c>
      <c r="H143">
        <v>33</v>
      </c>
      <c r="I143">
        <v>73</v>
      </c>
      <c r="J143">
        <v>261</v>
      </c>
      <c r="K143" s="3">
        <v>247.66</v>
      </c>
      <c r="L143" s="3">
        <v>64639.26</v>
      </c>
      <c r="M143" t="s">
        <v>24</v>
      </c>
    </row>
    <row r="144" spans="1:13">
      <c r="A144" t="s">
        <v>211</v>
      </c>
      <c r="B144" s="2">
        <v>46085</v>
      </c>
      <c r="C144" t="s">
        <v>124</v>
      </c>
      <c r="D144" t="s">
        <v>125</v>
      </c>
      <c r="E144" t="s">
        <v>22</v>
      </c>
      <c r="F144" t="s">
        <v>23</v>
      </c>
      <c r="G144">
        <v>34</v>
      </c>
      <c r="H144">
        <v>161</v>
      </c>
      <c r="I144">
        <v>155</v>
      </c>
      <c r="J144">
        <v>40</v>
      </c>
      <c r="K144" s="3">
        <v>161.32</v>
      </c>
      <c r="L144" s="3">
        <v>6452.8</v>
      </c>
      <c r="M144" t="s">
        <v>24</v>
      </c>
    </row>
    <row r="145" spans="1:13">
      <c r="A145" t="s">
        <v>212</v>
      </c>
      <c r="B145" s="2">
        <v>46182</v>
      </c>
      <c r="C145" t="s">
        <v>14</v>
      </c>
      <c r="D145" t="s">
        <v>15</v>
      </c>
      <c r="E145" t="s">
        <v>16</v>
      </c>
      <c r="F145" t="s">
        <v>17</v>
      </c>
      <c r="G145">
        <v>302</v>
      </c>
      <c r="H145">
        <v>3</v>
      </c>
      <c r="I145">
        <v>141</v>
      </c>
      <c r="J145">
        <v>164</v>
      </c>
      <c r="K145" s="3">
        <v>187.64</v>
      </c>
      <c r="L145" s="3">
        <v>30772.959999999999</v>
      </c>
      <c r="M145" t="s">
        <v>49</v>
      </c>
    </row>
    <row r="146" spans="1:13">
      <c r="A146" t="s">
        <v>213</v>
      </c>
      <c r="B146" s="2">
        <v>46259</v>
      </c>
      <c r="C146" t="s">
        <v>20</v>
      </c>
      <c r="D146" t="s">
        <v>21</v>
      </c>
      <c r="E146" t="s">
        <v>22</v>
      </c>
      <c r="F146" t="s">
        <v>23</v>
      </c>
      <c r="G146">
        <v>80</v>
      </c>
      <c r="H146">
        <v>165</v>
      </c>
      <c r="I146">
        <v>213</v>
      </c>
      <c r="J146">
        <v>32</v>
      </c>
      <c r="K146" s="3">
        <v>61.24</v>
      </c>
      <c r="L146" s="3">
        <v>1959.68</v>
      </c>
      <c r="M146" t="s">
        <v>24</v>
      </c>
    </row>
    <row r="147" spans="1:13">
      <c r="A147" t="s">
        <v>214</v>
      </c>
      <c r="B147" s="2">
        <v>46283</v>
      </c>
      <c r="C147" t="s">
        <v>71</v>
      </c>
      <c r="D147" t="s">
        <v>72</v>
      </c>
      <c r="E147" t="s">
        <v>22</v>
      </c>
      <c r="F147" t="s">
        <v>68</v>
      </c>
      <c r="G147">
        <v>381</v>
      </c>
      <c r="H147">
        <v>69</v>
      </c>
      <c r="I147">
        <v>106</v>
      </c>
      <c r="J147">
        <v>344</v>
      </c>
      <c r="K147" s="3">
        <v>11.86</v>
      </c>
      <c r="L147" s="3">
        <v>4079.84</v>
      </c>
      <c r="M147" t="s">
        <v>18</v>
      </c>
    </row>
    <row r="148" spans="1:13">
      <c r="A148" t="s">
        <v>215</v>
      </c>
      <c r="B148" s="2">
        <v>46256</v>
      </c>
      <c r="C148" t="s">
        <v>51</v>
      </c>
      <c r="D148" t="s">
        <v>52</v>
      </c>
      <c r="E148" t="s">
        <v>28</v>
      </c>
      <c r="F148" t="s">
        <v>33</v>
      </c>
      <c r="G148">
        <v>302</v>
      </c>
      <c r="H148">
        <v>37</v>
      </c>
      <c r="I148">
        <v>98</v>
      </c>
      <c r="J148">
        <v>241</v>
      </c>
      <c r="K148" s="3">
        <v>25.74</v>
      </c>
      <c r="L148" s="3">
        <v>6203.34</v>
      </c>
      <c r="M148" t="s">
        <v>24</v>
      </c>
    </row>
    <row r="149" spans="1:13">
      <c r="A149" t="s">
        <v>216</v>
      </c>
      <c r="B149" s="2">
        <v>46092</v>
      </c>
      <c r="C149" t="s">
        <v>59</v>
      </c>
      <c r="D149" t="s">
        <v>60</v>
      </c>
      <c r="E149" t="s">
        <v>16</v>
      </c>
      <c r="F149" t="s">
        <v>17</v>
      </c>
      <c r="G149">
        <v>462</v>
      </c>
      <c r="H149">
        <v>17</v>
      </c>
      <c r="I149">
        <v>70</v>
      </c>
      <c r="J149">
        <v>409</v>
      </c>
      <c r="K149" s="3">
        <v>66.86</v>
      </c>
      <c r="L149" s="3">
        <v>27345.74</v>
      </c>
      <c r="M149" t="s">
        <v>18</v>
      </c>
    </row>
    <row r="150" spans="1:13">
      <c r="A150" t="s">
        <v>217</v>
      </c>
      <c r="B150" s="2">
        <v>46282</v>
      </c>
      <c r="C150" t="s">
        <v>66</v>
      </c>
      <c r="D150" t="s">
        <v>67</v>
      </c>
      <c r="E150" t="s">
        <v>16</v>
      </c>
      <c r="F150" t="s">
        <v>68</v>
      </c>
      <c r="G150">
        <v>156</v>
      </c>
      <c r="H150">
        <v>0</v>
      </c>
      <c r="I150">
        <v>72</v>
      </c>
      <c r="J150">
        <v>84</v>
      </c>
      <c r="K150" s="3">
        <v>65.86</v>
      </c>
      <c r="L150" s="3">
        <v>5532.24</v>
      </c>
      <c r="M150" t="s">
        <v>24</v>
      </c>
    </row>
    <row r="151" spans="1:13">
      <c r="A151" t="s">
        <v>218</v>
      </c>
      <c r="B151" s="2">
        <v>46273</v>
      </c>
      <c r="C151" t="s">
        <v>35</v>
      </c>
      <c r="D151" t="s">
        <v>36</v>
      </c>
      <c r="E151" t="s">
        <v>37</v>
      </c>
      <c r="F151" t="s">
        <v>38</v>
      </c>
      <c r="G151">
        <v>463</v>
      </c>
      <c r="H151">
        <v>38</v>
      </c>
      <c r="I151">
        <v>114</v>
      </c>
      <c r="J151">
        <v>387</v>
      </c>
      <c r="K151" s="3">
        <v>228.61</v>
      </c>
      <c r="L151" s="3">
        <v>88472.07</v>
      </c>
      <c r="M151" t="s">
        <v>18</v>
      </c>
    </row>
    <row r="152" spans="1:13">
      <c r="A152" t="s">
        <v>219</v>
      </c>
      <c r="B152" s="2">
        <v>46216</v>
      </c>
      <c r="C152" t="s">
        <v>66</v>
      </c>
      <c r="D152" t="s">
        <v>67</v>
      </c>
      <c r="E152" t="s">
        <v>16</v>
      </c>
      <c r="F152" t="s">
        <v>68</v>
      </c>
      <c r="G152">
        <v>253</v>
      </c>
      <c r="H152">
        <v>82</v>
      </c>
      <c r="I152">
        <v>48</v>
      </c>
      <c r="J152">
        <v>287</v>
      </c>
      <c r="K152" s="3">
        <v>68.45</v>
      </c>
      <c r="L152" s="3">
        <v>19645.150000000001</v>
      </c>
      <c r="M152" t="s">
        <v>49</v>
      </c>
    </row>
    <row r="153" spans="1:13">
      <c r="A153" t="s">
        <v>220</v>
      </c>
      <c r="B153" s="2">
        <v>46219</v>
      </c>
      <c r="C153" t="s">
        <v>35</v>
      </c>
      <c r="D153" t="s">
        <v>36</v>
      </c>
      <c r="E153" t="s">
        <v>37</v>
      </c>
      <c r="F153" t="s">
        <v>38</v>
      </c>
      <c r="G153">
        <v>139</v>
      </c>
      <c r="H153">
        <v>105</v>
      </c>
      <c r="I153">
        <v>11</v>
      </c>
      <c r="J153">
        <v>233</v>
      </c>
      <c r="K153" s="3">
        <v>220.6</v>
      </c>
      <c r="L153" s="3">
        <v>51399.8</v>
      </c>
      <c r="M153" t="s">
        <v>18</v>
      </c>
    </row>
    <row r="154" spans="1:13">
      <c r="A154" t="s">
        <v>221</v>
      </c>
      <c r="B154" s="2">
        <v>46220</v>
      </c>
      <c r="C154" t="s">
        <v>136</v>
      </c>
      <c r="D154" t="s">
        <v>137</v>
      </c>
      <c r="E154" t="s">
        <v>37</v>
      </c>
      <c r="F154" t="s">
        <v>38</v>
      </c>
      <c r="G154">
        <v>359</v>
      </c>
      <c r="H154">
        <v>166</v>
      </c>
      <c r="I154">
        <v>38</v>
      </c>
      <c r="J154">
        <v>487</v>
      </c>
      <c r="K154" s="3">
        <v>10.34</v>
      </c>
      <c r="L154" s="3">
        <v>5035.58</v>
      </c>
      <c r="M154" t="s">
        <v>49</v>
      </c>
    </row>
    <row r="155" spans="1:13">
      <c r="A155" t="s">
        <v>222</v>
      </c>
      <c r="B155" s="2">
        <v>46280</v>
      </c>
      <c r="C155" t="s">
        <v>77</v>
      </c>
      <c r="D155" t="s">
        <v>78</v>
      </c>
      <c r="E155" t="s">
        <v>16</v>
      </c>
      <c r="F155" t="s">
        <v>17</v>
      </c>
      <c r="G155">
        <v>322</v>
      </c>
      <c r="H155">
        <v>84</v>
      </c>
      <c r="I155">
        <v>25</v>
      </c>
      <c r="J155">
        <v>381</v>
      </c>
      <c r="K155" s="3">
        <v>219.4</v>
      </c>
      <c r="L155" s="3">
        <v>83591.399999999994</v>
      </c>
      <c r="M155" t="s">
        <v>18</v>
      </c>
    </row>
    <row r="156" spans="1:13">
      <c r="A156" t="s">
        <v>223</v>
      </c>
      <c r="B156" s="2">
        <v>46292</v>
      </c>
      <c r="C156" t="s">
        <v>20</v>
      </c>
      <c r="D156" t="s">
        <v>21</v>
      </c>
      <c r="E156" t="s">
        <v>22</v>
      </c>
      <c r="F156" t="s">
        <v>23</v>
      </c>
      <c r="G156">
        <v>486</v>
      </c>
      <c r="H156">
        <v>116</v>
      </c>
      <c r="I156">
        <v>3</v>
      </c>
      <c r="J156">
        <v>599</v>
      </c>
      <c r="K156" s="3">
        <v>67.14</v>
      </c>
      <c r="L156" s="3">
        <v>40216.86</v>
      </c>
      <c r="M156" t="s">
        <v>18</v>
      </c>
    </row>
    <row r="157" spans="1:13">
      <c r="A157" t="s">
        <v>224</v>
      </c>
      <c r="B157" s="2">
        <v>46061</v>
      </c>
      <c r="C157" t="s">
        <v>77</v>
      </c>
      <c r="D157" t="s">
        <v>78</v>
      </c>
      <c r="E157" t="s">
        <v>16</v>
      </c>
      <c r="F157" t="s">
        <v>17</v>
      </c>
      <c r="G157">
        <v>260</v>
      </c>
      <c r="H157">
        <v>67</v>
      </c>
      <c r="I157">
        <v>86</v>
      </c>
      <c r="J157">
        <v>241</v>
      </c>
      <c r="K157" s="3">
        <v>211.08</v>
      </c>
      <c r="L157" s="3">
        <v>50870.28</v>
      </c>
      <c r="M157" t="s">
        <v>18</v>
      </c>
    </row>
    <row r="158" spans="1:13">
      <c r="A158" t="s">
        <v>225</v>
      </c>
      <c r="B158" s="2">
        <v>46191</v>
      </c>
      <c r="C158" t="s">
        <v>31</v>
      </c>
      <c r="D158" t="s">
        <v>32</v>
      </c>
      <c r="E158" t="s">
        <v>28</v>
      </c>
      <c r="F158" t="s">
        <v>33</v>
      </c>
      <c r="G158">
        <v>456</v>
      </c>
      <c r="H158">
        <v>172</v>
      </c>
      <c r="I158">
        <v>219</v>
      </c>
      <c r="J158">
        <v>409</v>
      </c>
      <c r="K158" s="3">
        <v>79.61</v>
      </c>
      <c r="L158" s="3">
        <v>32560.49</v>
      </c>
      <c r="M158" t="s">
        <v>18</v>
      </c>
    </row>
    <row r="159" spans="1:13">
      <c r="A159" t="s">
        <v>226</v>
      </c>
      <c r="B159" s="2">
        <v>46041</v>
      </c>
      <c r="C159" t="s">
        <v>124</v>
      </c>
      <c r="D159" t="s">
        <v>125</v>
      </c>
      <c r="E159" t="s">
        <v>22</v>
      </c>
      <c r="F159" t="s">
        <v>23</v>
      </c>
      <c r="G159">
        <v>336</v>
      </c>
      <c r="H159">
        <v>17</v>
      </c>
      <c r="I159">
        <v>60</v>
      </c>
      <c r="J159">
        <v>293</v>
      </c>
      <c r="K159" s="3">
        <v>157.18</v>
      </c>
      <c r="L159" s="3">
        <v>46053.74</v>
      </c>
      <c r="M159" t="s">
        <v>18</v>
      </c>
    </row>
    <row r="160" spans="1:13">
      <c r="A160" t="s">
        <v>227</v>
      </c>
      <c r="B160" s="2">
        <v>46069</v>
      </c>
      <c r="C160" t="s">
        <v>51</v>
      </c>
      <c r="D160" t="s">
        <v>52</v>
      </c>
      <c r="E160" t="s">
        <v>28</v>
      </c>
      <c r="F160" t="s">
        <v>33</v>
      </c>
      <c r="G160">
        <v>242</v>
      </c>
      <c r="H160">
        <v>25</v>
      </c>
      <c r="I160">
        <v>194</v>
      </c>
      <c r="J160">
        <v>73</v>
      </c>
      <c r="K160" s="3">
        <v>27.66</v>
      </c>
      <c r="L160" s="3">
        <v>2019.18</v>
      </c>
      <c r="M160" t="s">
        <v>49</v>
      </c>
    </row>
    <row r="161" spans="1:13">
      <c r="A161" t="s">
        <v>228</v>
      </c>
      <c r="B161" s="2">
        <v>46108</v>
      </c>
      <c r="C161" t="s">
        <v>55</v>
      </c>
      <c r="D161" t="s">
        <v>56</v>
      </c>
      <c r="E161" t="s">
        <v>28</v>
      </c>
      <c r="F161" t="s">
        <v>29</v>
      </c>
      <c r="G161">
        <v>375</v>
      </c>
      <c r="H161">
        <v>76</v>
      </c>
      <c r="I161">
        <v>7</v>
      </c>
      <c r="J161">
        <v>444</v>
      </c>
      <c r="K161" s="3">
        <v>169.72</v>
      </c>
      <c r="L161" s="3">
        <v>75355.679999999993</v>
      </c>
      <c r="M161" t="s">
        <v>49</v>
      </c>
    </row>
    <row r="162" spans="1:13">
      <c r="A162" t="s">
        <v>229</v>
      </c>
      <c r="B162" s="2">
        <v>46206</v>
      </c>
      <c r="C162" t="s">
        <v>71</v>
      </c>
      <c r="D162" t="s">
        <v>72</v>
      </c>
      <c r="E162" t="s">
        <v>22</v>
      </c>
      <c r="F162" t="s">
        <v>68</v>
      </c>
      <c r="G162">
        <v>211</v>
      </c>
      <c r="H162">
        <v>110</v>
      </c>
      <c r="I162">
        <v>37</v>
      </c>
      <c r="J162">
        <v>284</v>
      </c>
      <c r="K162" s="3">
        <v>10.79</v>
      </c>
      <c r="L162" s="3">
        <v>3064.36</v>
      </c>
      <c r="M162" t="s">
        <v>18</v>
      </c>
    </row>
    <row r="163" spans="1:13">
      <c r="A163" t="s">
        <v>230</v>
      </c>
      <c r="B163" s="2">
        <v>46115</v>
      </c>
      <c r="C163" t="s">
        <v>35</v>
      </c>
      <c r="D163" t="s">
        <v>36</v>
      </c>
      <c r="E163" t="s">
        <v>37</v>
      </c>
      <c r="F163" t="s">
        <v>38</v>
      </c>
      <c r="G163">
        <v>107</v>
      </c>
      <c r="H163">
        <v>44</v>
      </c>
      <c r="I163">
        <v>20</v>
      </c>
      <c r="J163">
        <v>131</v>
      </c>
      <c r="K163" s="3">
        <v>231.19</v>
      </c>
      <c r="L163" s="3">
        <v>30285.89</v>
      </c>
      <c r="M163" t="s">
        <v>18</v>
      </c>
    </row>
    <row r="164" spans="1:13">
      <c r="A164" t="s">
        <v>231</v>
      </c>
      <c r="B164" s="2">
        <v>46146</v>
      </c>
      <c r="C164" t="s">
        <v>80</v>
      </c>
      <c r="D164" t="s">
        <v>81</v>
      </c>
      <c r="E164" t="s">
        <v>28</v>
      </c>
      <c r="F164" t="s">
        <v>33</v>
      </c>
      <c r="G164">
        <v>274</v>
      </c>
      <c r="H164">
        <v>149</v>
      </c>
      <c r="I164">
        <v>36</v>
      </c>
      <c r="J164">
        <v>387</v>
      </c>
      <c r="K164" s="3">
        <v>4.59</v>
      </c>
      <c r="L164" s="3">
        <v>1776.33</v>
      </c>
      <c r="M164" t="s">
        <v>24</v>
      </c>
    </row>
    <row r="165" spans="1:13">
      <c r="A165" t="s">
        <v>232</v>
      </c>
      <c r="B165" s="2">
        <v>46258</v>
      </c>
      <c r="C165" t="s">
        <v>26</v>
      </c>
      <c r="D165" t="s">
        <v>27</v>
      </c>
      <c r="E165" t="s">
        <v>28</v>
      </c>
      <c r="F165" t="s">
        <v>29</v>
      </c>
      <c r="G165">
        <v>150</v>
      </c>
      <c r="H165">
        <v>170</v>
      </c>
      <c r="I165">
        <v>2</v>
      </c>
      <c r="J165">
        <v>318</v>
      </c>
      <c r="K165" s="3">
        <v>127.52</v>
      </c>
      <c r="L165" s="3">
        <v>40551.360000000001</v>
      </c>
      <c r="M165" t="s">
        <v>18</v>
      </c>
    </row>
    <row r="166" spans="1:13">
      <c r="A166" t="s">
        <v>233</v>
      </c>
      <c r="B166" s="2">
        <v>46103</v>
      </c>
      <c r="C166" t="s">
        <v>71</v>
      </c>
      <c r="D166" t="s">
        <v>72</v>
      </c>
      <c r="E166" t="s">
        <v>22</v>
      </c>
      <c r="F166" t="s">
        <v>68</v>
      </c>
      <c r="G166">
        <v>57</v>
      </c>
      <c r="H166">
        <v>113</v>
      </c>
      <c r="I166">
        <v>88</v>
      </c>
      <c r="J166">
        <v>82</v>
      </c>
      <c r="K166" s="3">
        <v>12.13</v>
      </c>
      <c r="L166" s="3">
        <v>994.66</v>
      </c>
      <c r="M166" t="s">
        <v>18</v>
      </c>
    </row>
    <row r="167" spans="1:13">
      <c r="A167" t="s">
        <v>234</v>
      </c>
      <c r="B167" s="2">
        <v>46151</v>
      </c>
      <c r="C167" t="s">
        <v>62</v>
      </c>
      <c r="D167" t="s">
        <v>63</v>
      </c>
      <c r="E167" t="s">
        <v>37</v>
      </c>
      <c r="F167" t="s">
        <v>38</v>
      </c>
      <c r="G167">
        <v>253</v>
      </c>
      <c r="H167">
        <v>77</v>
      </c>
      <c r="I167">
        <v>50</v>
      </c>
      <c r="J167">
        <v>280</v>
      </c>
      <c r="K167" s="3">
        <v>62.72</v>
      </c>
      <c r="L167" s="3">
        <v>17561.599999999999</v>
      </c>
      <c r="M167" t="s">
        <v>18</v>
      </c>
    </row>
    <row r="168" spans="1:13">
      <c r="A168" t="s">
        <v>235</v>
      </c>
      <c r="B168" s="2">
        <v>46144</v>
      </c>
      <c r="C168" t="s">
        <v>20</v>
      </c>
      <c r="D168" t="s">
        <v>21</v>
      </c>
      <c r="E168" t="s">
        <v>22</v>
      </c>
      <c r="F168" t="s">
        <v>23</v>
      </c>
      <c r="G168">
        <v>215</v>
      </c>
      <c r="H168">
        <v>146</v>
      </c>
      <c r="I168">
        <v>91</v>
      </c>
      <c r="J168">
        <v>270</v>
      </c>
      <c r="K168" s="3">
        <v>65.61</v>
      </c>
      <c r="L168" s="3">
        <v>17714.7</v>
      </c>
      <c r="M168" t="s">
        <v>24</v>
      </c>
    </row>
    <row r="169" spans="1:13">
      <c r="A169" t="s">
        <v>236</v>
      </c>
      <c r="B169" s="2">
        <v>46034</v>
      </c>
      <c r="C169" t="s">
        <v>71</v>
      </c>
      <c r="D169" t="s">
        <v>72</v>
      </c>
      <c r="E169" t="s">
        <v>22</v>
      </c>
      <c r="F169" t="s">
        <v>68</v>
      </c>
      <c r="G169">
        <v>444</v>
      </c>
      <c r="H169">
        <v>168</v>
      </c>
      <c r="I169">
        <v>101</v>
      </c>
      <c r="J169">
        <v>511</v>
      </c>
      <c r="K169" s="3">
        <v>10.85</v>
      </c>
      <c r="L169" s="3">
        <v>5544.35</v>
      </c>
      <c r="M169" t="s">
        <v>24</v>
      </c>
    </row>
    <row r="170" spans="1:13">
      <c r="A170" t="s">
        <v>237</v>
      </c>
      <c r="B170" s="2">
        <v>46277</v>
      </c>
      <c r="C170" t="s">
        <v>86</v>
      </c>
      <c r="D170" t="s">
        <v>87</v>
      </c>
      <c r="E170" t="s">
        <v>43</v>
      </c>
      <c r="F170" t="s">
        <v>44</v>
      </c>
      <c r="G170">
        <v>446</v>
      </c>
      <c r="H170">
        <v>73</v>
      </c>
      <c r="I170">
        <v>198</v>
      </c>
      <c r="J170">
        <v>321</v>
      </c>
      <c r="K170" s="3">
        <v>10.4</v>
      </c>
      <c r="L170" s="3">
        <v>3338.4</v>
      </c>
      <c r="M170" t="s">
        <v>24</v>
      </c>
    </row>
    <row r="171" spans="1:13">
      <c r="A171" t="s">
        <v>238</v>
      </c>
      <c r="B171" s="2">
        <v>46135</v>
      </c>
      <c r="C171" t="s">
        <v>41</v>
      </c>
      <c r="D171" t="s">
        <v>42</v>
      </c>
      <c r="E171" t="s">
        <v>43</v>
      </c>
      <c r="F171" t="s">
        <v>44</v>
      </c>
      <c r="G171">
        <v>345</v>
      </c>
      <c r="H171">
        <v>48</v>
      </c>
      <c r="I171">
        <v>158</v>
      </c>
      <c r="J171">
        <v>235</v>
      </c>
      <c r="K171" s="3">
        <v>137.28</v>
      </c>
      <c r="L171" s="3">
        <v>32260.799999999999</v>
      </c>
      <c r="M171" t="s">
        <v>24</v>
      </c>
    </row>
    <row r="172" spans="1:13">
      <c r="A172" t="s">
        <v>239</v>
      </c>
      <c r="B172" s="2">
        <v>46072</v>
      </c>
      <c r="C172" t="s">
        <v>77</v>
      </c>
      <c r="D172" t="s">
        <v>78</v>
      </c>
      <c r="E172" t="s">
        <v>16</v>
      </c>
      <c r="F172" t="s">
        <v>17</v>
      </c>
      <c r="G172">
        <v>482</v>
      </c>
      <c r="H172">
        <v>160</v>
      </c>
      <c r="I172">
        <v>165</v>
      </c>
      <c r="J172">
        <v>477</v>
      </c>
      <c r="K172" s="3">
        <v>191.75</v>
      </c>
      <c r="L172" s="3">
        <v>91464.75</v>
      </c>
      <c r="M172" t="s">
        <v>18</v>
      </c>
    </row>
    <row r="173" spans="1:13">
      <c r="A173" t="s">
        <v>240</v>
      </c>
      <c r="B173" s="2">
        <v>46209</v>
      </c>
      <c r="C173" t="s">
        <v>86</v>
      </c>
      <c r="D173" t="s">
        <v>87</v>
      </c>
      <c r="E173" t="s">
        <v>43</v>
      </c>
      <c r="F173" t="s">
        <v>44</v>
      </c>
      <c r="G173">
        <v>394</v>
      </c>
      <c r="H173">
        <v>33</v>
      </c>
      <c r="I173">
        <v>23</v>
      </c>
      <c r="J173">
        <v>404</v>
      </c>
      <c r="K173" s="3">
        <v>10.58</v>
      </c>
      <c r="L173" s="3">
        <v>4274.32</v>
      </c>
      <c r="M173" t="s">
        <v>18</v>
      </c>
    </row>
    <row r="174" spans="1:13">
      <c r="A174" t="s">
        <v>241</v>
      </c>
      <c r="B174" s="2">
        <v>46112</v>
      </c>
      <c r="C174" t="s">
        <v>62</v>
      </c>
      <c r="D174" t="s">
        <v>63</v>
      </c>
      <c r="E174" t="s">
        <v>37</v>
      </c>
      <c r="F174" t="s">
        <v>38</v>
      </c>
      <c r="G174">
        <v>122</v>
      </c>
      <c r="H174">
        <v>33</v>
      </c>
      <c r="I174">
        <v>138</v>
      </c>
      <c r="J174">
        <v>17</v>
      </c>
      <c r="K174" s="3">
        <v>61.58</v>
      </c>
      <c r="L174" s="3">
        <v>1046.8599999999999</v>
      </c>
      <c r="M174" t="s">
        <v>18</v>
      </c>
    </row>
    <row r="175" spans="1:13">
      <c r="A175" t="s">
        <v>242</v>
      </c>
      <c r="B175" s="2">
        <v>46279</v>
      </c>
      <c r="C175" t="s">
        <v>59</v>
      </c>
      <c r="D175" t="s">
        <v>60</v>
      </c>
      <c r="E175" t="s">
        <v>16</v>
      </c>
      <c r="F175" t="s">
        <v>17</v>
      </c>
      <c r="G175">
        <v>487</v>
      </c>
      <c r="H175">
        <v>69</v>
      </c>
      <c r="I175">
        <v>212</v>
      </c>
      <c r="J175">
        <v>344</v>
      </c>
      <c r="K175" s="3">
        <v>60.62</v>
      </c>
      <c r="L175" s="3">
        <v>20853.28</v>
      </c>
      <c r="M175" t="s">
        <v>18</v>
      </c>
    </row>
    <row r="176" spans="1:13">
      <c r="A176" t="s">
        <v>243</v>
      </c>
      <c r="B176" s="2">
        <v>46196</v>
      </c>
      <c r="C176" t="s">
        <v>71</v>
      </c>
      <c r="D176" t="s">
        <v>72</v>
      </c>
      <c r="E176" t="s">
        <v>22</v>
      </c>
      <c r="F176" t="s">
        <v>68</v>
      </c>
      <c r="G176">
        <v>431</v>
      </c>
      <c r="H176">
        <v>29</v>
      </c>
      <c r="I176">
        <v>119</v>
      </c>
      <c r="J176">
        <v>341</v>
      </c>
      <c r="K176" s="3">
        <v>12.09</v>
      </c>
      <c r="L176" s="3">
        <v>4122.6899999999996</v>
      </c>
      <c r="M176" t="s">
        <v>49</v>
      </c>
    </row>
    <row r="177" spans="1:13">
      <c r="A177" t="s">
        <v>244</v>
      </c>
      <c r="B177" s="2">
        <v>46226</v>
      </c>
      <c r="C177" t="s">
        <v>51</v>
      </c>
      <c r="D177" t="s">
        <v>52</v>
      </c>
      <c r="E177" t="s">
        <v>28</v>
      </c>
      <c r="F177" t="s">
        <v>33</v>
      </c>
      <c r="G177">
        <v>453</v>
      </c>
      <c r="H177">
        <v>142</v>
      </c>
      <c r="I177">
        <v>93</v>
      </c>
      <c r="J177">
        <v>502</v>
      </c>
      <c r="K177" s="3">
        <v>25.31</v>
      </c>
      <c r="L177" s="3">
        <v>12705.62</v>
      </c>
      <c r="M177" t="s">
        <v>18</v>
      </c>
    </row>
    <row r="178" spans="1:13">
      <c r="A178" t="s">
        <v>245</v>
      </c>
      <c r="B178" s="2">
        <v>46158</v>
      </c>
      <c r="C178" t="s">
        <v>116</v>
      </c>
      <c r="D178" t="s">
        <v>117</v>
      </c>
      <c r="E178" t="s">
        <v>22</v>
      </c>
      <c r="F178" t="s">
        <v>23</v>
      </c>
      <c r="G178">
        <v>294</v>
      </c>
      <c r="H178">
        <v>31</v>
      </c>
      <c r="I178">
        <v>116</v>
      </c>
      <c r="J178">
        <v>209</v>
      </c>
      <c r="K178" s="3">
        <v>176.33</v>
      </c>
      <c r="L178" s="3">
        <v>36852.97</v>
      </c>
      <c r="M178" t="s">
        <v>24</v>
      </c>
    </row>
    <row r="179" spans="1:13">
      <c r="A179" t="s">
        <v>246</v>
      </c>
      <c r="B179" s="2">
        <v>46218</v>
      </c>
      <c r="C179" t="s">
        <v>26</v>
      </c>
      <c r="D179" t="s">
        <v>27</v>
      </c>
      <c r="E179" t="s">
        <v>28</v>
      </c>
      <c r="F179" t="s">
        <v>29</v>
      </c>
      <c r="G179">
        <v>441</v>
      </c>
      <c r="H179">
        <v>163</v>
      </c>
      <c r="I179">
        <v>95</v>
      </c>
      <c r="J179">
        <v>509</v>
      </c>
      <c r="K179" s="3">
        <v>112.36</v>
      </c>
      <c r="L179" s="3">
        <v>57191.24</v>
      </c>
      <c r="M179" t="s">
        <v>49</v>
      </c>
    </row>
    <row r="180" spans="1:13">
      <c r="A180" t="s">
        <v>247</v>
      </c>
      <c r="B180" s="2">
        <v>46035</v>
      </c>
      <c r="C180" t="s">
        <v>124</v>
      </c>
      <c r="D180" t="s">
        <v>125</v>
      </c>
      <c r="E180" t="s">
        <v>22</v>
      </c>
      <c r="F180" t="s">
        <v>23</v>
      </c>
      <c r="G180">
        <v>337</v>
      </c>
      <c r="H180">
        <v>143</v>
      </c>
      <c r="I180">
        <v>83</v>
      </c>
      <c r="J180">
        <v>397</v>
      </c>
      <c r="K180" s="3">
        <v>164.18</v>
      </c>
      <c r="L180" s="3">
        <v>65179.46</v>
      </c>
      <c r="M180" t="s">
        <v>49</v>
      </c>
    </row>
    <row r="181" spans="1:13">
      <c r="A181" t="s">
        <v>248</v>
      </c>
      <c r="B181" s="2">
        <v>46260</v>
      </c>
      <c r="C181" t="s">
        <v>31</v>
      </c>
      <c r="D181" t="s">
        <v>32</v>
      </c>
      <c r="E181" t="s">
        <v>28</v>
      </c>
      <c r="F181" t="s">
        <v>33</v>
      </c>
      <c r="G181">
        <v>485</v>
      </c>
      <c r="H181">
        <v>179</v>
      </c>
      <c r="I181">
        <v>77</v>
      </c>
      <c r="J181">
        <v>587</v>
      </c>
      <c r="K181" s="3">
        <v>81.069999999999993</v>
      </c>
      <c r="L181" s="3">
        <v>47588.09</v>
      </c>
      <c r="M181" t="s">
        <v>49</v>
      </c>
    </row>
    <row r="182" spans="1:13">
      <c r="A182" t="s">
        <v>249</v>
      </c>
      <c r="B182" s="2">
        <v>46046</v>
      </c>
      <c r="C182" t="s">
        <v>77</v>
      </c>
      <c r="D182" t="s">
        <v>78</v>
      </c>
      <c r="E182" t="s">
        <v>16</v>
      </c>
      <c r="F182" t="s">
        <v>17</v>
      </c>
      <c r="G182">
        <v>39</v>
      </c>
      <c r="H182">
        <v>77</v>
      </c>
      <c r="I182">
        <v>63</v>
      </c>
      <c r="J182">
        <v>53</v>
      </c>
      <c r="K182" s="3">
        <v>194.29</v>
      </c>
      <c r="L182" s="3">
        <v>10297.370000000001</v>
      </c>
      <c r="M182" t="s">
        <v>49</v>
      </c>
    </row>
    <row r="183" spans="1:13">
      <c r="A183" t="s">
        <v>250</v>
      </c>
      <c r="B183" s="2">
        <v>46092</v>
      </c>
      <c r="C183" t="s">
        <v>47</v>
      </c>
      <c r="D183" t="s">
        <v>48</v>
      </c>
      <c r="E183" t="s">
        <v>43</v>
      </c>
      <c r="F183" t="s">
        <v>44</v>
      </c>
      <c r="G183">
        <v>218</v>
      </c>
      <c r="H183">
        <v>116</v>
      </c>
      <c r="I183">
        <v>94</v>
      </c>
      <c r="J183">
        <v>240</v>
      </c>
      <c r="K183" s="3">
        <v>170.76</v>
      </c>
      <c r="L183" s="3">
        <v>40982.400000000001</v>
      </c>
      <c r="M183" t="s">
        <v>24</v>
      </c>
    </row>
    <row r="184" spans="1:13">
      <c r="A184" t="s">
        <v>251</v>
      </c>
      <c r="B184" s="2">
        <v>46237</v>
      </c>
      <c r="C184" t="s">
        <v>47</v>
      </c>
      <c r="D184" t="s">
        <v>48</v>
      </c>
      <c r="E184" t="s">
        <v>43</v>
      </c>
      <c r="F184" t="s">
        <v>44</v>
      </c>
      <c r="G184">
        <v>320</v>
      </c>
      <c r="H184">
        <v>39</v>
      </c>
      <c r="I184">
        <v>106</v>
      </c>
      <c r="J184">
        <v>253</v>
      </c>
      <c r="K184" s="3">
        <v>170.35</v>
      </c>
      <c r="L184" s="3">
        <v>43098.55</v>
      </c>
      <c r="M184" t="s">
        <v>18</v>
      </c>
    </row>
    <row r="185" spans="1:13">
      <c r="A185" t="s">
        <v>252</v>
      </c>
      <c r="B185" s="2">
        <v>46231</v>
      </c>
      <c r="C185" t="s">
        <v>80</v>
      </c>
      <c r="D185" t="s">
        <v>81</v>
      </c>
      <c r="E185" t="s">
        <v>28</v>
      </c>
      <c r="F185" t="s">
        <v>33</v>
      </c>
      <c r="G185">
        <v>500</v>
      </c>
      <c r="H185">
        <v>71</v>
      </c>
      <c r="I185">
        <v>8</v>
      </c>
      <c r="J185">
        <v>563</v>
      </c>
      <c r="K185" s="3">
        <v>4.95</v>
      </c>
      <c r="L185" s="3">
        <v>2786.85</v>
      </c>
      <c r="M185" t="s">
        <v>49</v>
      </c>
    </row>
    <row r="186" spans="1:13">
      <c r="A186" t="s">
        <v>253</v>
      </c>
      <c r="B186" s="2">
        <v>46250</v>
      </c>
      <c r="C186" t="s">
        <v>55</v>
      </c>
      <c r="D186" t="s">
        <v>56</v>
      </c>
      <c r="E186" t="s">
        <v>28</v>
      </c>
      <c r="F186" t="s">
        <v>29</v>
      </c>
      <c r="G186">
        <v>140</v>
      </c>
      <c r="H186">
        <v>92</v>
      </c>
      <c r="I186">
        <v>25</v>
      </c>
      <c r="J186">
        <v>207</v>
      </c>
      <c r="K186" s="3">
        <v>197.1</v>
      </c>
      <c r="L186" s="3">
        <v>40799.699999999997</v>
      </c>
      <c r="M186" t="s">
        <v>18</v>
      </c>
    </row>
    <row r="187" spans="1:13">
      <c r="A187" t="s">
        <v>254</v>
      </c>
      <c r="B187" s="2">
        <v>46206</v>
      </c>
      <c r="C187" t="s">
        <v>47</v>
      </c>
      <c r="D187" t="s">
        <v>48</v>
      </c>
      <c r="E187" t="s">
        <v>43</v>
      </c>
      <c r="F187" t="s">
        <v>44</v>
      </c>
      <c r="G187">
        <v>51</v>
      </c>
      <c r="H187">
        <v>101</v>
      </c>
      <c r="I187">
        <v>70</v>
      </c>
      <c r="J187">
        <v>82</v>
      </c>
      <c r="K187" s="3">
        <v>157.97999999999999</v>
      </c>
      <c r="L187" s="3">
        <v>12954.36</v>
      </c>
      <c r="M187" t="s">
        <v>49</v>
      </c>
    </row>
    <row r="188" spans="1:13">
      <c r="A188" t="s">
        <v>255</v>
      </c>
      <c r="B188" s="2">
        <v>46069</v>
      </c>
      <c r="C188" t="s">
        <v>55</v>
      </c>
      <c r="D188" t="s">
        <v>56</v>
      </c>
      <c r="E188" t="s">
        <v>28</v>
      </c>
      <c r="F188" t="s">
        <v>29</v>
      </c>
      <c r="G188">
        <v>359</v>
      </c>
      <c r="H188">
        <v>54</v>
      </c>
      <c r="I188">
        <v>164</v>
      </c>
      <c r="J188">
        <v>249</v>
      </c>
      <c r="K188" s="3">
        <v>187.1</v>
      </c>
      <c r="L188" s="3">
        <v>46587.9</v>
      </c>
      <c r="M188" t="s">
        <v>49</v>
      </c>
    </row>
    <row r="189" spans="1:13">
      <c r="A189" t="s">
        <v>256</v>
      </c>
      <c r="B189" s="2">
        <v>46193</v>
      </c>
      <c r="C189" t="s">
        <v>86</v>
      </c>
      <c r="D189" t="s">
        <v>87</v>
      </c>
      <c r="E189" t="s">
        <v>43</v>
      </c>
      <c r="F189" t="s">
        <v>44</v>
      </c>
      <c r="G189">
        <v>144</v>
      </c>
      <c r="H189">
        <v>32</v>
      </c>
      <c r="I189">
        <v>144</v>
      </c>
      <c r="J189">
        <v>32</v>
      </c>
      <c r="K189" s="3">
        <v>9.4600000000000009</v>
      </c>
      <c r="L189" s="3">
        <v>302.72000000000003</v>
      </c>
      <c r="M189" t="s">
        <v>24</v>
      </c>
    </row>
    <row r="190" spans="1:13">
      <c r="A190" t="s">
        <v>257</v>
      </c>
      <c r="B190" s="2">
        <v>46133</v>
      </c>
      <c r="C190" t="s">
        <v>99</v>
      </c>
      <c r="D190" t="s">
        <v>100</v>
      </c>
      <c r="E190" t="s">
        <v>43</v>
      </c>
      <c r="F190" t="s">
        <v>44</v>
      </c>
      <c r="G190">
        <v>436</v>
      </c>
      <c r="H190">
        <v>59</v>
      </c>
      <c r="I190">
        <v>84</v>
      </c>
      <c r="J190">
        <v>411</v>
      </c>
      <c r="K190" s="3">
        <v>261.11</v>
      </c>
      <c r="L190" s="3">
        <v>107316.21</v>
      </c>
      <c r="M190" t="s">
        <v>24</v>
      </c>
    </row>
    <row r="191" spans="1:13">
      <c r="A191" t="s">
        <v>258</v>
      </c>
      <c r="B191" s="2">
        <v>46164</v>
      </c>
      <c r="C191" t="s">
        <v>116</v>
      </c>
      <c r="D191" t="s">
        <v>117</v>
      </c>
      <c r="E191" t="s">
        <v>22</v>
      </c>
      <c r="F191" t="s">
        <v>23</v>
      </c>
      <c r="G191">
        <v>459</v>
      </c>
      <c r="H191">
        <v>37</v>
      </c>
      <c r="I191">
        <v>33</v>
      </c>
      <c r="J191">
        <v>463</v>
      </c>
      <c r="K191" s="3">
        <v>181.28</v>
      </c>
      <c r="L191" s="3">
        <v>83932.64</v>
      </c>
      <c r="M191" t="s">
        <v>49</v>
      </c>
    </row>
    <row r="192" spans="1:13">
      <c r="A192" t="s">
        <v>259</v>
      </c>
      <c r="B192" s="2">
        <v>46036</v>
      </c>
      <c r="C192" t="s">
        <v>20</v>
      </c>
      <c r="D192" t="s">
        <v>21</v>
      </c>
      <c r="E192" t="s">
        <v>22</v>
      </c>
      <c r="F192" t="s">
        <v>23</v>
      </c>
      <c r="G192">
        <v>87</v>
      </c>
      <c r="H192">
        <v>3</v>
      </c>
      <c r="I192">
        <v>45</v>
      </c>
      <c r="J192">
        <v>45</v>
      </c>
      <c r="K192" s="3">
        <v>67.84</v>
      </c>
      <c r="L192" s="3">
        <v>3052.8</v>
      </c>
      <c r="M192" t="s">
        <v>49</v>
      </c>
    </row>
    <row r="193" spans="1:13">
      <c r="A193" t="s">
        <v>260</v>
      </c>
      <c r="B193" s="2">
        <v>46188</v>
      </c>
      <c r="C193" t="s">
        <v>35</v>
      </c>
      <c r="D193" t="s">
        <v>36</v>
      </c>
      <c r="E193" t="s">
        <v>37</v>
      </c>
      <c r="F193" t="s">
        <v>38</v>
      </c>
      <c r="G193">
        <v>28</v>
      </c>
      <c r="H193">
        <v>44</v>
      </c>
      <c r="I193">
        <v>33</v>
      </c>
      <c r="J193">
        <v>39</v>
      </c>
      <c r="K193" s="3">
        <v>210.94</v>
      </c>
      <c r="L193" s="3">
        <v>8226.66</v>
      </c>
      <c r="M193" t="s">
        <v>24</v>
      </c>
    </row>
    <row r="194" spans="1:13">
      <c r="A194" t="s">
        <v>261</v>
      </c>
      <c r="B194" s="2">
        <v>46292</v>
      </c>
      <c r="C194" t="s">
        <v>62</v>
      </c>
      <c r="D194" t="s">
        <v>63</v>
      </c>
      <c r="E194" t="s">
        <v>37</v>
      </c>
      <c r="F194" t="s">
        <v>38</v>
      </c>
      <c r="G194">
        <v>78</v>
      </c>
      <c r="H194">
        <v>16</v>
      </c>
      <c r="I194">
        <v>60</v>
      </c>
      <c r="J194">
        <v>34</v>
      </c>
      <c r="K194" s="3">
        <v>57.6</v>
      </c>
      <c r="L194" s="3">
        <v>1958.4</v>
      </c>
      <c r="M194" t="s">
        <v>18</v>
      </c>
    </row>
    <row r="195" spans="1:13">
      <c r="A195" t="s">
        <v>262</v>
      </c>
      <c r="B195" s="2">
        <v>46078</v>
      </c>
      <c r="C195" t="s">
        <v>59</v>
      </c>
      <c r="D195" t="s">
        <v>60</v>
      </c>
      <c r="E195" t="s">
        <v>16</v>
      </c>
      <c r="F195" t="s">
        <v>17</v>
      </c>
      <c r="G195">
        <v>251</v>
      </c>
      <c r="H195">
        <v>128</v>
      </c>
      <c r="I195">
        <v>56</v>
      </c>
      <c r="J195">
        <v>323</v>
      </c>
      <c r="K195" s="3">
        <v>68.63</v>
      </c>
      <c r="L195" s="3">
        <v>22167.49</v>
      </c>
      <c r="M195" t="s">
        <v>49</v>
      </c>
    </row>
    <row r="196" spans="1:13">
      <c r="A196" t="s">
        <v>263</v>
      </c>
      <c r="B196" s="2">
        <v>46177</v>
      </c>
      <c r="C196" t="s">
        <v>59</v>
      </c>
      <c r="D196" t="s">
        <v>60</v>
      </c>
      <c r="E196" t="s">
        <v>16</v>
      </c>
      <c r="F196" t="s">
        <v>17</v>
      </c>
      <c r="G196">
        <v>254</v>
      </c>
      <c r="H196">
        <v>164</v>
      </c>
      <c r="I196">
        <v>7</v>
      </c>
      <c r="J196">
        <v>411</v>
      </c>
      <c r="K196" s="3">
        <v>59.56</v>
      </c>
      <c r="L196" s="3">
        <v>24479.16</v>
      </c>
      <c r="M196" t="s">
        <v>18</v>
      </c>
    </row>
    <row r="197" spans="1:13">
      <c r="A197" t="s">
        <v>264</v>
      </c>
      <c r="B197" s="2">
        <v>46241</v>
      </c>
      <c r="C197" t="s">
        <v>136</v>
      </c>
      <c r="D197" t="s">
        <v>137</v>
      </c>
      <c r="E197" t="s">
        <v>37</v>
      </c>
      <c r="F197" t="s">
        <v>38</v>
      </c>
      <c r="G197">
        <v>371</v>
      </c>
      <c r="H197">
        <v>27</v>
      </c>
      <c r="I197">
        <v>125</v>
      </c>
      <c r="J197">
        <v>273</v>
      </c>
      <c r="K197" s="3">
        <v>10.7</v>
      </c>
      <c r="L197" s="3">
        <v>2921.1</v>
      </c>
      <c r="M197" t="s">
        <v>18</v>
      </c>
    </row>
    <row r="198" spans="1:13">
      <c r="A198" t="s">
        <v>265</v>
      </c>
      <c r="B198" s="2">
        <v>46064</v>
      </c>
      <c r="C198" t="s">
        <v>31</v>
      </c>
      <c r="D198" t="s">
        <v>32</v>
      </c>
      <c r="E198" t="s">
        <v>28</v>
      </c>
      <c r="F198" t="s">
        <v>33</v>
      </c>
      <c r="G198">
        <v>184</v>
      </c>
      <c r="H198">
        <v>155</v>
      </c>
      <c r="I198">
        <v>37</v>
      </c>
      <c r="J198">
        <v>302</v>
      </c>
      <c r="K198" s="3">
        <v>73.680000000000007</v>
      </c>
      <c r="L198" s="3">
        <v>22251.360000000001</v>
      </c>
      <c r="M198" t="s">
        <v>18</v>
      </c>
    </row>
    <row r="199" spans="1:13">
      <c r="A199" t="s">
        <v>266</v>
      </c>
      <c r="B199" s="2">
        <v>46189</v>
      </c>
      <c r="C199" t="s">
        <v>80</v>
      </c>
      <c r="D199" t="s">
        <v>81</v>
      </c>
      <c r="E199" t="s">
        <v>28</v>
      </c>
      <c r="F199" t="s">
        <v>33</v>
      </c>
      <c r="G199">
        <v>215</v>
      </c>
      <c r="H199">
        <v>152</v>
      </c>
      <c r="I199">
        <v>135</v>
      </c>
      <c r="J199">
        <v>232</v>
      </c>
      <c r="K199" s="3">
        <v>4.6399999999999997</v>
      </c>
      <c r="L199" s="3">
        <v>1076.48</v>
      </c>
      <c r="M199" t="s">
        <v>24</v>
      </c>
    </row>
    <row r="200" spans="1:13">
      <c r="A200" t="s">
        <v>267</v>
      </c>
      <c r="B200" s="2">
        <v>46243</v>
      </c>
      <c r="C200" t="s">
        <v>80</v>
      </c>
      <c r="D200" t="s">
        <v>81</v>
      </c>
      <c r="E200" t="s">
        <v>28</v>
      </c>
      <c r="F200" t="s">
        <v>33</v>
      </c>
      <c r="G200">
        <v>70</v>
      </c>
      <c r="H200">
        <v>179</v>
      </c>
      <c r="I200">
        <v>29</v>
      </c>
      <c r="J200">
        <v>220</v>
      </c>
      <c r="K200" s="3">
        <v>5.07</v>
      </c>
      <c r="L200" s="3">
        <v>1115.4000000000001</v>
      </c>
      <c r="M200" t="s">
        <v>24</v>
      </c>
    </row>
    <row r="201" spans="1:13">
      <c r="A201" t="s">
        <v>268</v>
      </c>
      <c r="B201" s="2">
        <v>46133</v>
      </c>
      <c r="C201" t="s">
        <v>47</v>
      </c>
      <c r="D201" t="s">
        <v>48</v>
      </c>
      <c r="E201" t="s">
        <v>43</v>
      </c>
      <c r="F201" t="s">
        <v>44</v>
      </c>
      <c r="G201">
        <v>240</v>
      </c>
      <c r="H201">
        <v>115</v>
      </c>
      <c r="I201">
        <v>58</v>
      </c>
      <c r="J201">
        <v>297</v>
      </c>
      <c r="K201" s="3">
        <v>163.93</v>
      </c>
      <c r="L201" s="3">
        <v>48687.21</v>
      </c>
      <c r="M201" t="s">
        <v>18</v>
      </c>
    </row>
    <row r="202" spans="1:13">
      <c r="A202" t="s">
        <v>269</v>
      </c>
      <c r="B202" s="2">
        <v>46235</v>
      </c>
      <c r="C202" t="s">
        <v>136</v>
      </c>
      <c r="D202" t="s">
        <v>137</v>
      </c>
      <c r="E202" t="s">
        <v>37</v>
      </c>
      <c r="F202" t="s">
        <v>38</v>
      </c>
      <c r="G202">
        <v>393</v>
      </c>
      <c r="H202">
        <v>24</v>
      </c>
      <c r="I202">
        <v>80</v>
      </c>
      <c r="J202">
        <v>337</v>
      </c>
      <c r="K202" s="3">
        <v>10.23</v>
      </c>
      <c r="L202" s="3">
        <v>3447.51</v>
      </c>
      <c r="M202" t="s">
        <v>24</v>
      </c>
    </row>
    <row r="203" spans="1:13">
      <c r="A203" t="s">
        <v>270</v>
      </c>
      <c r="B203" s="2">
        <v>46214</v>
      </c>
      <c r="C203" t="s">
        <v>26</v>
      </c>
      <c r="D203" t="s">
        <v>27</v>
      </c>
      <c r="E203" t="s">
        <v>28</v>
      </c>
      <c r="F203" t="s">
        <v>29</v>
      </c>
      <c r="G203">
        <v>98</v>
      </c>
      <c r="H203">
        <v>175</v>
      </c>
      <c r="I203">
        <v>121</v>
      </c>
      <c r="J203">
        <v>152</v>
      </c>
      <c r="K203" s="3">
        <v>111.57</v>
      </c>
      <c r="L203" s="3">
        <v>16958.64</v>
      </c>
      <c r="M203" t="s">
        <v>49</v>
      </c>
    </row>
    <row r="204" spans="1:13">
      <c r="A204" t="s">
        <v>271</v>
      </c>
      <c r="B204" s="2">
        <v>46244</v>
      </c>
      <c r="C204" t="s">
        <v>31</v>
      </c>
      <c r="D204" t="s">
        <v>32</v>
      </c>
      <c r="E204" t="s">
        <v>28</v>
      </c>
      <c r="F204" t="s">
        <v>33</v>
      </c>
      <c r="G204">
        <v>69</v>
      </c>
      <c r="H204">
        <v>95</v>
      </c>
      <c r="I204">
        <v>33</v>
      </c>
      <c r="J204">
        <v>131</v>
      </c>
      <c r="K204" s="3">
        <v>79.900000000000006</v>
      </c>
      <c r="L204" s="3">
        <v>10466.9</v>
      </c>
      <c r="M204" t="s">
        <v>24</v>
      </c>
    </row>
    <row r="205" spans="1:13">
      <c r="A205" t="s">
        <v>272</v>
      </c>
      <c r="B205" s="2">
        <v>46191</v>
      </c>
      <c r="C205" t="s">
        <v>47</v>
      </c>
      <c r="D205" t="s">
        <v>48</v>
      </c>
      <c r="E205" t="s">
        <v>43</v>
      </c>
      <c r="F205" t="s">
        <v>44</v>
      </c>
      <c r="G205">
        <v>363</v>
      </c>
      <c r="H205">
        <v>31</v>
      </c>
      <c r="I205">
        <v>105</v>
      </c>
      <c r="J205">
        <v>289</v>
      </c>
      <c r="K205" s="3">
        <v>162.33000000000001</v>
      </c>
      <c r="L205" s="3">
        <v>46913.37</v>
      </c>
      <c r="M205" t="s">
        <v>24</v>
      </c>
    </row>
    <row r="206" spans="1:13">
      <c r="A206" t="s">
        <v>273</v>
      </c>
      <c r="B206" s="2">
        <v>46049</v>
      </c>
      <c r="C206" t="s">
        <v>62</v>
      </c>
      <c r="D206" t="s">
        <v>63</v>
      </c>
      <c r="E206" t="s">
        <v>37</v>
      </c>
      <c r="F206" t="s">
        <v>38</v>
      </c>
      <c r="G206">
        <v>167</v>
      </c>
      <c r="H206">
        <v>153</v>
      </c>
      <c r="I206">
        <v>79</v>
      </c>
      <c r="J206">
        <v>241</v>
      </c>
      <c r="K206" s="3">
        <v>56.7</v>
      </c>
      <c r="L206" s="3">
        <v>13664.7</v>
      </c>
      <c r="M206" t="s">
        <v>24</v>
      </c>
    </row>
    <row r="207" spans="1:13">
      <c r="A207" t="s">
        <v>274</v>
      </c>
      <c r="B207" s="2">
        <v>46131</v>
      </c>
      <c r="C207" t="s">
        <v>59</v>
      </c>
      <c r="D207" t="s">
        <v>60</v>
      </c>
      <c r="E207" t="s">
        <v>16</v>
      </c>
      <c r="F207" t="s">
        <v>17</v>
      </c>
      <c r="G207">
        <v>99</v>
      </c>
      <c r="H207">
        <v>168</v>
      </c>
      <c r="I207">
        <v>123</v>
      </c>
      <c r="J207">
        <v>144</v>
      </c>
      <c r="K207" s="3">
        <v>61.24</v>
      </c>
      <c r="L207" s="3">
        <v>8818.56</v>
      </c>
      <c r="M207" t="s">
        <v>49</v>
      </c>
    </row>
    <row r="208" spans="1:13">
      <c r="A208" t="s">
        <v>275</v>
      </c>
      <c r="B208" s="2">
        <v>46211</v>
      </c>
      <c r="C208" t="s">
        <v>41</v>
      </c>
      <c r="D208" t="s">
        <v>42</v>
      </c>
      <c r="E208" t="s">
        <v>43</v>
      </c>
      <c r="F208" t="s">
        <v>44</v>
      </c>
      <c r="G208">
        <v>78</v>
      </c>
      <c r="H208">
        <v>71</v>
      </c>
      <c r="I208">
        <v>146</v>
      </c>
      <c r="J208">
        <v>3</v>
      </c>
      <c r="K208" s="3">
        <v>136.72</v>
      </c>
      <c r="L208" s="3">
        <v>410.16</v>
      </c>
      <c r="M208" t="s">
        <v>18</v>
      </c>
    </row>
    <row r="209" spans="1:13">
      <c r="A209" t="s">
        <v>276</v>
      </c>
      <c r="B209" s="2">
        <v>46036</v>
      </c>
      <c r="C209" t="s">
        <v>47</v>
      </c>
      <c r="D209" t="s">
        <v>48</v>
      </c>
      <c r="E209" t="s">
        <v>43</v>
      </c>
      <c r="F209" t="s">
        <v>44</v>
      </c>
      <c r="G209">
        <v>331</v>
      </c>
      <c r="H209">
        <v>168</v>
      </c>
      <c r="I209">
        <v>212</v>
      </c>
      <c r="J209">
        <v>287</v>
      </c>
      <c r="K209" s="3">
        <v>171.37</v>
      </c>
      <c r="L209" s="3">
        <v>49183.19</v>
      </c>
      <c r="M209" t="s">
        <v>49</v>
      </c>
    </row>
    <row r="210" spans="1:13">
      <c r="A210" t="s">
        <v>277</v>
      </c>
      <c r="B210" s="2">
        <v>46162</v>
      </c>
      <c r="C210" t="s">
        <v>14</v>
      </c>
      <c r="D210" t="s">
        <v>15</v>
      </c>
      <c r="E210" t="s">
        <v>16</v>
      </c>
      <c r="F210" t="s">
        <v>17</v>
      </c>
      <c r="G210">
        <v>379</v>
      </c>
      <c r="H210">
        <v>79</v>
      </c>
      <c r="I210">
        <v>86</v>
      </c>
      <c r="J210">
        <v>372</v>
      </c>
      <c r="K210" s="3">
        <v>185.91</v>
      </c>
      <c r="L210" s="3">
        <v>69158.52</v>
      </c>
      <c r="M210" t="s">
        <v>49</v>
      </c>
    </row>
    <row r="211" spans="1:13">
      <c r="A211" t="s">
        <v>278</v>
      </c>
      <c r="B211" s="2">
        <v>46228</v>
      </c>
      <c r="C211" t="s">
        <v>77</v>
      </c>
      <c r="D211" t="s">
        <v>78</v>
      </c>
      <c r="E211" t="s">
        <v>16</v>
      </c>
      <c r="F211" t="s">
        <v>17</v>
      </c>
      <c r="G211">
        <v>55</v>
      </c>
      <c r="H211">
        <v>36</v>
      </c>
      <c r="I211">
        <v>81</v>
      </c>
      <c r="J211">
        <v>10</v>
      </c>
      <c r="K211" s="3">
        <v>222.63</v>
      </c>
      <c r="L211" s="3">
        <v>2226.3000000000002</v>
      </c>
      <c r="M211" t="s">
        <v>49</v>
      </c>
    </row>
    <row r="212" spans="1:13">
      <c r="A212" t="s">
        <v>279</v>
      </c>
      <c r="B212" s="2">
        <v>46133</v>
      </c>
      <c r="C212" t="s">
        <v>59</v>
      </c>
      <c r="D212" t="s">
        <v>60</v>
      </c>
      <c r="E212" t="s">
        <v>16</v>
      </c>
      <c r="F212" t="s">
        <v>17</v>
      </c>
      <c r="G212">
        <v>212</v>
      </c>
      <c r="H212">
        <v>107</v>
      </c>
      <c r="I212">
        <v>116</v>
      </c>
      <c r="J212">
        <v>203</v>
      </c>
      <c r="K212" s="3">
        <v>62.43</v>
      </c>
      <c r="L212" s="3">
        <v>12673.29</v>
      </c>
      <c r="M212" t="s">
        <v>18</v>
      </c>
    </row>
    <row r="213" spans="1:13">
      <c r="A213" t="s">
        <v>280</v>
      </c>
      <c r="B213" s="2">
        <v>46189</v>
      </c>
      <c r="C213" t="s">
        <v>71</v>
      </c>
      <c r="D213" t="s">
        <v>72</v>
      </c>
      <c r="E213" t="s">
        <v>22</v>
      </c>
      <c r="F213" t="s">
        <v>68</v>
      </c>
      <c r="G213">
        <v>417</v>
      </c>
      <c r="H213">
        <v>145</v>
      </c>
      <c r="I213">
        <v>152</v>
      </c>
      <c r="J213">
        <v>410</v>
      </c>
      <c r="K213" s="3">
        <v>10.51</v>
      </c>
      <c r="L213" s="3">
        <v>4309.1000000000004</v>
      </c>
      <c r="M213" t="s">
        <v>49</v>
      </c>
    </row>
    <row r="214" spans="1:13">
      <c r="A214" t="s">
        <v>281</v>
      </c>
      <c r="B214" s="2">
        <v>46103</v>
      </c>
      <c r="C214" t="s">
        <v>77</v>
      </c>
      <c r="D214" t="s">
        <v>78</v>
      </c>
      <c r="E214" t="s">
        <v>16</v>
      </c>
      <c r="F214" t="s">
        <v>17</v>
      </c>
      <c r="G214">
        <v>406</v>
      </c>
      <c r="H214">
        <v>158</v>
      </c>
      <c r="I214">
        <v>12</v>
      </c>
      <c r="J214">
        <v>552</v>
      </c>
      <c r="K214" s="3">
        <v>212.76</v>
      </c>
      <c r="L214" s="3">
        <v>117443.52</v>
      </c>
      <c r="M214" t="s">
        <v>18</v>
      </c>
    </row>
    <row r="215" spans="1:13">
      <c r="A215" t="s">
        <v>282</v>
      </c>
      <c r="B215" s="2">
        <v>46240</v>
      </c>
      <c r="C215" t="s">
        <v>55</v>
      </c>
      <c r="D215" t="s">
        <v>56</v>
      </c>
      <c r="E215" t="s">
        <v>28</v>
      </c>
      <c r="F215" t="s">
        <v>29</v>
      </c>
      <c r="G215">
        <v>268</v>
      </c>
      <c r="H215">
        <v>155</v>
      </c>
      <c r="I215">
        <v>113</v>
      </c>
      <c r="J215">
        <v>310</v>
      </c>
      <c r="K215" s="3">
        <v>180.51</v>
      </c>
      <c r="L215" s="3">
        <v>55958.1</v>
      </c>
      <c r="M215" t="s">
        <v>49</v>
      </c>
    </row>
    <row r="216" spans="1:13">
      <c r="A216" t="s">
        <v>283</v>
      </c>
      <c r="B216" s="2">
        <v>46081</v>
      </c>
      <c r="C216" t="s">
        <v>59</v>
      </c>
      <c r="D216" t="s">
        <v>60</v>
      </c>
      <c r="E216" t="s">
        <v>16</v>
      </c>
      <c r="F216" t="s">
        <v>17</v>
      </c>
      <c r="G216">
        <v>196</v>
      </c>
      <c r="H216">
        <v>110</v>
      </c>
      <c r="I216">
        <v>28</v>
      </c>
      <c r="J216">
        <v>278</v>
      </c>
      <c r="K216" s="3">
        <v>61.84</v>
      </c>
      <c r="L216" s="3">
        <v>17191.52</v>
      </c>
      <c r="M216" t="s">
        <v>24</v>
      </c>
    </row>
    <row r="217" spans="1:13">
      <c r="A217" t="s">
        <v>284</v>
      </c>
      <c r="B217" s="2">
        <v>46272</v>
      </c>
      <c r="C217" t="s">
        <v>35</v>
      </c>
      <c r="D217" t="s">
        <v>36</v>
      </c>
      <c r="E217" t="s">
        <v>37</v>
      </c>
      <c r="F217" t="s">
        <v>38</v>
      </c>
      <c r="G217">
        <v>289</v>
      </c>
      <c r="H217">
        <v>170</v>
      </c>
      <c r="I217">
        <v>78</v>
      </c>
      <c r="J217">
        <v>381</v>
      </c>
      <c r="K217" s="3">
        <v>210.69</v>
      </c>
      <c r="L217" s="3">
        <v>80272.89</v>
      </c>
      <c r="M217" t="s">
        <v>18</v>
      </c>
    </row>
    <row r="218" spans="1:13">
      <c r="A218" t="s">
        <v>285</v>
      </c>
      <c r="B218" s="2">
        <v>46051</v>
      </c>
      <c r="C218" t="s">
        <v>80</v>
      </c>
      <c r="D218" t="s">
        <v>81</v>
      </c>
      <c r="E218" t="s">
        <v>28</v>
      </c>
      <c r="F218" t="s">
        <v>33</v>
      </c>
      <c r="G218">
        <v>23</v>
      </c>
      <c r="H218">
        <v>52</v>
      </c>
      <c r="I218">
        <v>38</v>
      </c>
      <c r="J218">
        <v>37</v>
      </c>
      <c r="K218" s="3">
        <v>5.14</v>
      </c>
      <c r="L218" s="3">
        <v>190.18</v>
      </c>
      <c r="M218" t="s">
        <v>49</v>
      </c>
    </row>
    <row r="219" spans="1:13">
      <c r="A219" t="s">
        <v>286</v>
      </c>
      <c r="B219" s="2">
        <v>46171</v>
      </c>
      <c r="C219" t="s">
        <v>26</v>
      </c>
      <c r="D219" t="s">
        <v>27</v>
      </c>
      <c r="E219" t="s">
        <v>28</v>
      </c>
      <c r="F219" t="s">
        <v>29</v>
      </c>
      <c r="G219">
        <v>187</v>
      </c>
      <c r="H219">
        <v>30</v>
      </c>
      <c r="I219">
        <v>1</v>
      </c>
      <c r="J219">
        <v>216</v>
      </c>
      <c r="K219" s="3">
        <v>119.82</v>
      </c>
      <c r="L219" s="3">
        <v>25881.119999999999</v>
      </c>
      <c r="M219" t="s">
        <v>18</v>
      </c>
    </row>
    <row r="220" spans="1:13">
      <c r="A220" t="s">
        <v>287</v>
      </c>
      <c r="B220" s="2">
        <v>46089</v>
      </c>
      <c r="C220" t="s">
        <v>14</v>
      </c>
      <c r="D220" t="s">
        <v>15</v>
      </c>
      <c r="E220" t="s">
        <v>16</v>
      </c>
      <c r="F220" t="s">
        <v>17</v>
      </c>
      <c r="G220">
        <v>214</v>
      </c>
      <c r="H220">
        <v>136</v>
      </c>
      <c r="I220">
        <v>180</v>
      </c>
      <c r="J220">
        <v>170</v>
      </c>
      <c r="K220" s="3">
        <v>182.22</v>
      </c>
      <c r="L220" s="3">
        <v>30977.4</v>
      </c>
      <c r="M220" t="s">
        <v>24</v>
      </c>
    </row>
    <row r="221" spans="1:13">
      <c r="A221" t="s">
        <v>288</v>
      </c>
      <c r="B221" s="2">
        <v>46059</v>
      </c>
      <c r="C221" t="s">
        <v>41</v>
      </c>
      <c r="D221" t="s">
        <v>42</v>
      </c>
      <c r="E221" t="s">
        <v>43</v>
      </c>
      <c r="F221" t="s">
        <v>44</v>
      </c>
      <c r="G221">
        <v>223</v>
      </c>
      <c r="H221">
        <v>10</v>
      </c>
      <c r="I221">
        <v>111</v>
      </c>
      <c r="J221">
        <v>122</v>
      </c>
      <c r="K221" s="3">
        <v>131.97</v>
      </c>
      <c r="L221" s="3">
        <v>16100.34</v>
      </c>
      <c r="M221" t="s">
        <v>49</v>
      </c>
    </row>
    <row r="222" spans="1:13">
      <c r="A222" t="s">
        <v>289</v>
      </c>
      <c r="B222" s="2">
        <v>46242</v>
      </c>
      <c r="C222" t="s">
        <v>66</v>
      </c>
      <c r="D222" t="s">
        <v>67</v>
      </c>
      <c r="E222" t="s">
        <v>16</v>
      </c>
      <c r="F222" t="s">
        <v>68</v>
      </c>
      <c r="G222">
        <v>313</v>
      </c>
      <c r="H222">
        <v>103</v>
      </c>
      <c r="I222">
        <v>181</v>
      </c>
      <c r="J222">
        <v>235</v>
      </c>
      <c r="K222" s="3">
        <v>64.989999999999995</v>
      </c>
      <c r="L222" s="3">
        <v>15272.65</v>
      </c>
      <c r="M222" t="s">
        <v>18</v>
      </c>
    </row>
    <row r="223" spans="1:13">
      <c r="A223" t="s">
        <v>290</v>
      </c>
      <c r="B223" s="2">
        <v>46230</v>
      </c>
      <c r="C223" t="s">
        <v>20</v>
      </c>
      <c r="D223" t="s">
        <v>21</v>
      </c>
      <c r="E223" t="s">
        <v>22</v>
      </c>
      <c r="F223" t="s">
        <v>23</v>
      </c>
      <c r="G223">
        <v>30</v>
      </c>
      <c r="H223">
        <v>83</v>
      </c>
      <c r="I223">
        <v>21</v>
      </c>
      <c r="J223">
        <v>92</v>
      </c>
      <c r="K223" s="3">
        <v>67.95</v>
      </c>
      <c r="L223" s="3">
        <v>6251.4</v>
      </c>
      <c r="M223" t="s">
        <v>24</v>
      </c>
    </row>
    <row r="224" spans="1:13">
      <c r="A224" t="s">
        <v>291</v>
      </c>
      <c r="B224" s="2">
        <v>46208</v>
      </c>
      <c r="C224" t="s">
        <v>55</v>
      </c>
      <c r="D224" t="s">
        <v>56</v>
      </c>
      <c r="E224" t="s">
        <v>28</v>
      </c>
      <c r="F224" t="s">
        <v>29</v>
      </c>
      <c r="G224">
        <v>65</v>
      </c>
      <c r="H224">
        <v>111</v>
      </c>
      <c r="I224">
        <v>27</v>
      </c>
      <c r="J224">
        <v>149</v>
      </c>
      <c r="K224" s="3">
        <v>175.5</v>
      </c>
      <c r="L224" s="3">
        <v>26149.5</v>
      </c>
      <c r="M224" t="s">
        <v>24</v>
      </c>
    </row>
    <row r="225" spans="1:13">
      <c r="A225" t="s">
        <v>292</v>
      </c>
      <c r="B225" s="2">
        <v>46291</v>
      </c>
      <c r="C225" t="s">
        <v>136</v>
      </c>
      <c r="D225" t="s">
        <v>137</v>
      </c>
      <c r="E225" t="s">
        <v>37</v>
      </c>
      <c r="F225" t="s">
        <v>38</v>
      </c>
      <c r="G225">
        <v>60</v>
      </c>
      <c r="H225">
        <v>101</v>
      </c>
      <c r="I225">
        <v>79</v>
      </c>
      <c r="J225">
        <v>82</v>
      </c>
      <c r="K225" s="3">
        <v>10.76</v>
      </c>
      <c r="L225" s="3">
        <v>882.32</v>
      </c>
      <c r="M225" t="s">
        <v>49</v>
      </c>
    </row>
    <row r="226" spans="1:13">
      <c r="A226" t="s">
        <v>293</v>
      </c>
      <c r="B226" s="2">
        <v>46109</v>
      </c>
      <c r="C226" t="s">
        <v>66</v>
      </c>
      <c r="D226" t="s">
        <v>67</v>
      </c>
      <c r="E226" t="s">
        <v>16</v>
      </c>
      <c r="F226" t="s">
        <v>68</v>
      </c>
      <c r="G226">
        <v>59</v>
      </c>
      <c r="H226">
        <v>130</v>
      </c>
      <c r="I226">
        <v>162</v>
      </c>
      <c r="J226">
        <v>27</v>
      </c>
      <c r="K226" s="3">
        <v>59.64</v>
      </c>
      <c r="L226" s="3">
        <v>1610.28</v>
      </c>
      <c r="M226" t="s">
        <v>24</v>
      </c>
    </row>
    <row r="227" spans="1:13">
      <c r="A227" t="s">
        <v>294</v>
      </c>
      <c r="B227" s="2">
        <v>46201</v>
      </c>
      <c r="C227" t="s">
        <v>99</v>
      </c>
      <c r="D227" t="s">
        <v>100</v>
      </c>
      <c r="E227" t="s">
        <v>43</v>
      </c>
      <c r="F227" t="s">
        <v>44</v>
      </c>
      <c r="G227">
        <v>199</v>
      </c>
      <c r="H227">
        <v>165</v>
      </c>
      <c r="I227">
        <v>208</v>
      </c>
      <c r="J227">
        <v>156</v>
      </c>
      <c r="K227" s="3">
        <v>236.03</v>
      </c>
      <c r="L227" s="3">
        <v>36820.68</v>
      </c>
      <c r="M227" t="s">
        <v>49</v>
      </c>
    </row>
    <row r="228" spans="1:13">
      <c r="A228" t="s">
        <v>295</v>
      </c>
      <c r="B228" s="2">
        <v>46154</v>
      </c>
      <c r="C228" t="s">
        <v>77</v>
      </c>
      <c r="D228" t="s">
        <v>78</v>
      </c>
      <c r="E228" t="s">
        <v>16</v>
      </c>
      <c r="F228" t="s">
        <v>17</v>
      </c>
      <c r="G228">
        <v>121</v>
      </c>
      <c r="H228">
        <v>44</v>
      </c>
      <c r="I228">
        <v>154</v>
      </c>
      <c r="J228">
        <v>11</v>
      </c>
      <c r="K228" s="3">
        <v>195.51</v>
      </c>
      <c r="L228" s="3">
        <v>2150.61</v>
      </c>
      <c r="M228" t="s">
        <v>24</v>
      </c>
    </row>
    <row r="229" spans="1:13">
      <c r="A229" t="s">
        <v>296</v>
      </c>
      <c r="B229" s="2">
        <v>46113</v>
      </c>
      <c r="C229" t="s">
        <v>31</v>
      </c>
      <c r="D229" t="s">
        <v>32</v>
      </c>
      <c r="E229" t="s">
        <v>28</v>
      </c>
      <c r="F229" t="s">
        <v>33</v>
      </c>
      <c r="G229">
        <v>415</v>
      </c>
      <c r="H229">
        <v>160</v>
      </c>
      <c r="I229">
        <v>126</v>
      </c>
      <c r="J229">
        <v>449</v>
      </c>
      <c r="K229" s="3">
        <v>78.73</v>
      </c>
      <c r="L229" s="3">
        <v>35349.769999999997</v>
      </c>
      <c r="M229" t="s">
        <v>24</v>
      </c>
    </row>
    <row r="230" spans="1:13">
      <c r="A230" t="s">
        <v>297</v>
      </c>
      <c r="B230" s="2">
        <v>46252</v>
      </c>
      <c r="C230" t="s">
        <v>35</v>
      </c>
      <c r="D230" t="s">
        <v>36</v>
      </c>
      <c r="E230" t="s">
        <v>37</v>
      </c>
      <c r="F230" t="s">
        <v>38</v>
      </c>
      <c r="G230">
        <v>368</v>
      </c>
      <c r="H230">
        <v>144</v>
      </c>
      <c r="I230">
        <v>164</v>
      </c>
      <c r="J230">
        <v>348</v>
      </c>
      <c r="K230" s="3">
        <v>232.13</v>
      </c>
      <c r="L230" s="3">
        <v>80781.240000000005</v>
      </c>
      <c r="M230" t="s">
        <v>24</v>
      </c>
    </row>
    <row r="231" spans="1:13">
      <c r="A231" t="s">
        <v>298</v>
      </c>
      <c r="B231" s="2">
        <v>46184</v>
      </c>
      <c r="C231" t="s">
        <v>66</v>
      </c>
      <c r="D231" t="s">
        <v>67</v>
      </c>
      <c r="E231" t="s">
        <v>16</v>
      </c>
      <c r="F231" t="s">
        <v>68</v>
      </c>
      <c r="G231">
        <v>97</v>
      </c>
      <c r="H231">
        <v>112</v>
      </c>
      <c r="I231">
        <v>17</v>
      </c>
      <c r="J231">
        <v>192</v>
      </c>
      <c r="K231" s="3">
        <v>63.25</v>
      </c>
      <c r="L231" s="3">
        <v>12144</v>
      </c>
      <c r="M231" t="s">
        <v>24</v>
      </c>
    </row>
    <row r="232" spans="1:13">
      <c r="A232" t="s">
        <v>299</v>
      </c>
      <c r="B232" s="2">
        <v>46163</v>
      </c>
      <c r="C232" t="s">
        <v>71</v>
      </c>
      <c r="D232" t="s">
        <v>72</v>
      </c>
      <c r="E232" t="s">
        <v>22</v>
      </c>
      <c r="F232" t="s">
        <v>68</v>
      </c>
      <c r="G232">
        <v>322</v>
      </c>
      <c r="H232">
        <v>14</v>
      </c>
      <c r="I232">
        <v>90</v>
      </c>
      <c r="J232">
        <v>246</v>
      </c>
      <c r="K232" s="3">
        <v>11.27</v>
      </c>
      <c r="L232" s="3">
        <v>2772.42</v>
      </c>
      <c r="M232" t="s">
        <v>18</v>
      </c>
    </row>
    <row r="233" spans="1:13">
      <c r="A233" t="s">
        <v>300</v>
      </c>
      <c r="B233" s="2">
        <v>46254</v>
      </c>
      <c r="C233" t="s">
        <v>55</v>
      </c>
      <c r="D233" t="s">
        <v>56</v>
      </c>
      <c r="E233" t="s">
        <v>28</v>
      </c>
      <c r="F233" t="s">
        <v>29</v>
      </c>
      <c r="G233">
        <v>39</v>
      </c>
      <c r="H233">
        <v>14</v>
      </c>
      <c r="I233">
        <v>23</v>
      </c>
      <c r="J233">
        <v>30</v>
      </c>
      <c r="K233" s="3">
        <v>192.73</v>
      </c>
      <c r="L233" s="3">
        <v>5781.9</v>
      </c>
      <c r="M233" t="s">
        <v>49</v>
      </c>
    </row>
    <row r="234" spans="1:13">
      <c r="A234" t="s">
        <v>301</v>
      </c>
      <c r="B234" s="2">
        <v>46282</v>
      </c>
      <c r="C234" t="s">
        <v>31</v>
      </c>
      <c r="D234" t="s">
        <v>32</v>
      </c>
      <c r="E234" t="s">
        <v>28</v>
      </c>
      <c r="F234" t="s">
        <v>33</v>
      </c>
      <c r="G234">
        <v>216</v>
      </c>
      <c r="H234">
        <v>118</v>
      </c>
      <c r="I234">
        <v>148</v>
      </c>
      <c r="J234">
        <v>186</v>
      </c>
      <c r="K234" s="3">
        <v>79.87</v>
      </c>
      <c r="L234" s="3">
        <v>14855.82</v>
      </c>
      <c r="M234" t="s">
        <v>24</v>
      </c>
    </row>
    <row r="235" spans="1:13">
      <c r="A235" t="s">
        <v>302</v>
      </c>
      <c r="B235" s="2">
        <v>46253</v>
      </c>
      <c r="C235" t="s">
        <v>86</v>
      </c>
      <c r="D235" t="s">
        <v>87</v>
      </c>
      <c r="E235" t="s">
        <v>43</v>
      </c>
      <c r="F235" t="s">
        <v>44</v>
      </c>
      <c r="G235">
        <v>485</v>
      </c>
      <c r="H235">
        <v>146</v>
      </c>
      <c r="I235">
        <v>166</v>
      </c>
      <c r="J235">
        <v>465</v>
      </c>
      <c r="K235" s="3">
        <v>9.43</v>
      </c>
      <c r="L235" s="3">
        <v>4384.95</v>
      </c>
      <c r="M235" t="s">
        <v>24</v>
      </c>
    </row>
    <row r="236" spans="1:13">
      <c r="A236" t="s">
        <v>303</v>
      </c>
      <c r="B236" s="2">
        <v>46279</v>
      </c>
      <c r="C236" t="s">
        <v>124</v>
      </c>
      <c r="D236" t="s">
        <v>125</v>
      </c>
      <c r="E236" t="s">
        <v>22</v>
      </c>
      <c r="F236" t="s">
        <v>23</v>
      </c>
      <c r="G236">
        <v>97</v>
      </c>
      <c r="H236">
        <v>15</v>
      </c>
      <c r="I236">
        <v>57</v>
      </c>
      <c r="J236">
        <v>55</v>
      </c>
      <c r="K236" s="3">
        <v>144.18</v>
      </c>
      <c r="L236" s="3">
        <v>7929.9</v>
      </c>
      <c r="M236" t="s">
        <v>18</v>
      </c>
    </row>
    <row r="237" spans="1:13">
      <c r="A237" t="s">
        <v>304</v>
      </c>
      <c r="B237" s="2">
        <v>46281</v>
      </c>
      <c r="C237" t="s">
        <v>31</v>
      </c>
      <c r="D237" t="s">
        <v>32</v>
      </c>
      <c r="E237" t="s">
        <v>28</v>
      </c>
      <c r="F237" t="s">
        <v>33</v>
      </c>
      <c r="G237">
        <v>350</v>
      </c>
      <c r="H237">
        <v>44</v>
      </c>
      <c r="I237">
        <v>10</v>
      </c>
      <c r="J237">
        <v>384</v>
      </c>
      <c r="K237" s="3">
        <v>75.989999999999995</v>
      </c>
      <c r="L237" s="3">
        <v>29180.16</v>
      </c>
      <c r="M237" t="s">
        <v>18</v>
      </c>
    </row>
    <row r="238" spans="1:13">
      <c r="A238" t="s">
        <v>305</v>
      </c>
      <c r="B238" s="2">
        <v>46291</v>
      </c>
      <c r="C238" t="s">
        <v>55</v>
      </c>
      <c r="D238" t="s">
        <v>56</v>
      </c>
      <c r="E238" t="s">
        <v>28</v>
      </c>
      <c r="F238" t="s">
        <v>29</v>
      </c>
      <c r="G238">
        <v>287</v>
      </c>
      <c r="H238">
        <v>156</v>
      </c>
      <c r="I238">
        <v>40</v>
      </c>
      <c r="J238">
        <v>403</v>
      </c>
      <c r="K238" s="3">
        <v>179.03</v>
      </c>
      <c r="L238" s="3">
        <v>72149.09</v>
      </c>
      <c r="M238" t="s">
        <v>18</v>
      </c>
    </row>
    <row r="239" spans="1:13">
      <c r="A239" t="s">
        <v>306</v>
      </c>
      <c r="B239" s="2">
        <v>46232</v>
      </c>
      <c r="C239" t="s">
        <v>136</v>
      </c>
      <c r="D239" t="s">
        <v>137</v>
      </c>
      <c r="E239" t="s">
        <v>37</v>
      </c>
      <c r="F239" t="s">
        <v>38</v>
      </c>
      <c r="G239">
        <v>416</v>
      </c>
      <c r="H239">
        <v>86</v>
      </c>
      <c r="I239">
        <v>173</v>
      </c>
      <c r="J239">
        <v>329</v>
      </c>
      <c r="K239" s="3">
        <v>10.51</v>
      </c>
      <c r="L239" s="3">
        <v>3457.79</v>
      </c>
      <c r="M239" t="s">
        <v>24</v>
      </c>
    </row>
    <row r="240" spans="1:13">
      <c r="A240" t="s">
        <v>307</v>
      </c>
      <c r="B240" s="2">
        <v>46056</v>
      </c>
      <c r="C240" t="s">
        <v>66</v>
      </c>
      <c r="D240" t="s">
        <v>67</v>
      </c>
      <c r="E240" t="s">
        <v>16</v>
      </c>
      <c r="F240" t="s">
        <v>68</v>
      </c>
      <c r="G240">
        <v>188</v>
      </c>
      <c r="H240">
        <v>24</v>
      </c>
      <c r="I240">
        <v>142</v>
      </c>
      <c r="J240">
        <v>70</v>
      </c>
      <c r="K240" s="3">
        <v>65.38</v>
      </c>
      <c r="L240" s="3">
        <v>4576.6000000000004</v>
      </c>
      <c r="M240" t="s">
        <v>18</v>
      </c>
    </row>
    <row r="241" spans="1:13">
      <c r="A241" t="s">
        <v>308</v>
      </c>
      <c r="B241" s="2">
        <v>46099</v>
      </c>
      <c r="C241" t="s">
        <v>26</v>
      </c>
      <c r="D241" t="s">
        <v>27</v>
      </c>
      <c r="E241" t="s">
        <v>28</v>
      </c>
      <c r="F241" t="s">
        <v>29</v>
      </c>
      <c r="G241">
        <v>190</v>
      </c>
      <c r="H241">
        <v>20</v>
      </c>
      <c r="I241">
        <v>149</v>
      </c>
      <c r="J241">
        <v>61</v>
      </c>
      <c r="K241" s="3">
        <v>123.01</v>
      </c>
      <c r="L241" s="3">
        <v>7503.61</v>
      </c>
      <c r="M241" t="s">
        <v>18</v>
      </c>
    </row>
    <row r="242" spans="1:13">
      <c r="A242" t="s">
        <v>309</v>
      </c>
      <c r="B242" s="2">
        <v>46223</v>
      </c>
      <c r="C242" t="s">
        <v>71</v>
      </c>
      <c r="D242" t="s">
        <v>72</v>
      </c>
      <c r="E242" t="s">
        <v>22</v>
      </c>
      <c r="F242" t="s">
        <v>68</v>
      </c>
      <c r="G242">
        <v>86</v>
      </c>
      <c r="H242">
        <v>152</v>
      </c>
      <c r="I242">
        <v>181</v>
      </c>
      <c r="J242">
        <v>57</v>
      </c>
      <c r="K242" s="3">
        <v>12.04</v>
      </c>
      <c r="L242" s="3">
        <v>686.28</v>
      </c>
      <c r="M242" t="s">
        <v>18</v>
      </c>
    </row>
    <row r="243" spans="1:13">
      <c r="A243" t="s">
        <v>310</v>
      </c>
      <c r="B243" s="2">
        <v>46215</v>
      </c>
      <c r="C243" t="s">
        <v>47</v>
      </c>
      <c r="D243" t="s">
        <v>48</v>
      </c>
      <c r="E243" t="s">
        <v>43</v>
      </c>
      <c r="F243" t="s">
        <v>44</v>
      </c>
      <c r="G243">
        <v>349</v>
      </c>
      <c r="H243">
        <v>84</v>
      </c>
      <c r="I243">
        <v>208</v>
      </c>
      <c r="J243">
        <v>225</v>
      </c>
      <c r="K243" s="3">
        <v>156.33000000000001</v>
      </c>
      <c r="L243" s="3">
        <v>35174.25</v>
      </c>
      <c r="M243" t="s">
        <v>24</v>
      </c>
    </row>
    <row r="244" spans="1:13">
      <c r="A244" t="s">
        <v>311</v>
      </c>
      <c r="B244" s="2">
        <v>46070</v>
      </c>
      <c r="C244" t="s">
        <v>59</v>
      </c>
      <c r="D244" t="s">
        <v>60</v>
      </c>
      <c r="E244" t="s">
        <v>16</v>
      </c>
      <c r="F244" t="s">
        <v>17</v>
      </c>
      <c r="G244">
        <v>350</v>
      </c>
      <c r="H244">
        <v>171</v>
      </c>
      <c r="I244">
        <v>108</v>
      </c>
      <c r="J244">
        <v>413</v>
      </c>
      <c r="K244" s="3">
        <v>64.150000000000006</v>
      </c>
      <c r="L244" s="3">
        <v>26493.95</v>
      </c>
      <c r="M244" t="s">
        <v>49</v>
      </c>
    </row>
    <row r="245" spans="1:13">
      <c r="A245" t="s">
        <v>312</v>
      </c>
      <c r="B245" s="2">
        <v>46181</v>
      </c>
      <c r="C245" t="s">
        <v>41</v>
      </c>
      <c r="D245" t="s">
        <v>42</v>
      </c>
      <c r="E245" t="s">
        <v>43</v>
      </c>
      <c r="F245" t="s">
        <v>44</v>
      </c>
      <c r="G245">
        <v>112</v>
      </c>
      <c r="H245">
        <v>54</v>
      </c>
      <c r="I245">
        <v>87</v>
      </c>
      <c r="J245">
        <v>79</v>
      </c>
      <c r="K245" s="3">
        <v>153.22</v>
      </c>
      <c r="L245" s="3">
        <v>12104.38</v>
      </c>
      <c r="M245" t="s">
        <v>18</v>
      </c>
    </row>
    <row r="246" spans="1:13">
      <c r="A246" t="s">
        <v>313</v>
      </c>
      <c r="B246" s="2">
        <v>46138</v>
      </c>
      <c r="C246" t="s">
        <v>99</v>
      </c>
      <c r="D246" t="s">
        <v>100</v>
      </c>
      <c r="E246" t="s">
        <v>43</v>
      </c>
      <c r="F246" t="s">
        <v>44</v>
      </c>
      <c r="G246">
        <v>90</v>
      </c>
      <c r="H246">
        <v>39</v>
      </c>
      <c r="I246">
        <v>19</v>
      </c>
      <c r="J246">
        <v>110</v>
      </c>
      <c r="K246" s="3">
        <v>241.96</v>
      </c>
      <c r="L246" s="3">
        <v>26615.599999999999</v>
      </c>
      <c r="M246" t="s">
        <v>49</v>
      </c>
    </row>
    <row r="247" spans="1:13">
      <c r="A247" t="s">
        <v>314</v>
      </c>
      <c r="B247" s="2">
        <v>46292</v>
      </c>
      <c r="C247" t="s">
        <v>59</v>
      </c>
      <c r="D247" t="s">
        <v>60</v>
      </c>
      <c r="E247" t="s">
        <v>16</v>
      </c>
      <c r="F247" t="s">
        <v>17</v>
      </c>
      <c r="G247">
        <v>39</v>
      </c>
      <c r="H247">
        <v>169</v>
      </c>
      <c r="I247">
        <v>86</v>
      </c>
      <c r="J247">
        <v>122</v>
      </c>
      <c r="K247" s="3">
        <v>67.92</v>
      </c>
      <c r="L247" s="3">
        <v>8286.24</v>
      </c>
      <c r="M247" t="s">
        <v>24</v>
      </c>
    </row>
    <row r="248" spans="1:13">
      <c r="A248" t="s">
        <v>315</v>
      </c>
      <c r="B248" s="2">
        <v>46215</v>
      </c>
      <c r="C248" t="s">
        <v>77</v>
      </c>
      <c r="D248" t="s">
        <v>78</v>
      </c>
      <c r="E248" t="s">
        <v>16</v>
      </c>
      <c r="F248" t="s">
        <v>17</v>
      </c>
      <c r="G248">
        <v>98</v>
      </c>
      <c r="H248">
        <v>41</v>
      </c>
      <c r="I248">
        <v>46</v>
      </c>
      <c r="J248">
        <v>93</v>
      </c>
      <c r="K248" s="3">
        <v>217.98</v>
      </c>
      <c r="L248" s="3">
        <v>20272.14</v>
      </c>
      <c r="M248" t="s">
        <v>24</v>
      </c>
    </row>
    <row r="249" spans="1:13">
      <c r="A249" t="s">
        <v>316</v>
      </c>
      <c r="B249" s="2">
        <v>46247</v>
      </c>
      <c r="C249" t="s">
        <v>14</v>
      </c>
      <c r="D249" t="s">
        <v>15</v>
      </c>
      <c r="E249" t="s">
        <v>16</v>
      </c>
      <c r="F249" t="s">
        <v>17</v>
      </c>
      <c r="G249">
        <v>42</v>
      </c>
      <c r="H249">
        <v>105</v>
      </c>
      <c r="I249">
        <v>93</v>
      </c>
      <c r="J249">
        <v>54</v>
      </c>
      <c r="K249" s="3">
        <v>195.82</v>
      </c>
      <c r="L249" s="3">
        <v>10574.28</v>
      </c>
      <c r="M249" t="s">
        <v>49</v>
      </c>
    </row>
    <row r="250" spans="1:13">
      <c r="A250" t="s">
        <v>317</v>
      </c>
      <c r="B250" s="2">
        <v>46168</v>
      </c>
      <c r="C250" t="s">
        <v>55</v>
      </c>
      <c r="D250" t="s">
        <v>56</v>
      </c>
      <c r="E250" t="s">
        <v>28</v>
      </c>
      <c r="F250" t="s">
        <v>29</v>
      </c>
      <c r="G250">
        <v>405</v>
      </c>
      <c r="H250">
        <v>114</v>
      </c>
      <c r="I250">
        <v>59</v>
      </c>
      <c r="J250">
        <v>460</v>
      </c>
      <c r="K250" s="3">
        <v>184.01</v>
      </c>
      <c r="L250" s="3">
        <v>84644.6</v>
      </c>
      <c r="M250" t="s">
        <v>18</v>
      </c>
    </row>
    <row r="251" spans="1:13">
      <c r="A251" t="s">
        <v>318</v>
      </c>
      <c r="B251" s="2">
        <v>46122</v>
      </c>
      <c r="C251" t="s">
        <v>124</v>
      </c>
      <c r="D251" t="s">
        <v>125</v>
      </c>
      <c r="E251" t="s">
        <v>22</v>
      </c>
      <c r="F251" t="s">
        <v>23</v>
      </c>
      <c r="G251">
        <v>208</v>
      </c>
      <c r="H251">
        <v>173</v>
      </c>
      <c r="I251">
        <v>146</v>
      </c>
      <c r="J251">
        <v>235</v>
      </c>
      <c r="K251" s="3">
        <v>165.88</v>
      </c>
      <c r="L251" s="3">
        <v>38981.800000000003</v>
      </c>
      <c r="M251" t="s">
        <v>18</v>
      </c>
    </row>
    <row r="252" spans="1:13">
      <c r="A252" t="s">
        <v>319</v>
      </c>
      <c r="B252" s="2">
        <v>46218</v>
      </c>
      <c r="C252" t="s">
        <v>71</v>
      </c>
      <c r="D252" t="s">
        <v>72</v>
      </c>
      <c r="E252" t="s">
        <v>22</v>
      </c>
      <c r="F252" t="s">
        <v>68</v>
      </c>
      <c r="G252">
        <v>277</v>
      </c>
      <c r="H252">
        <v>135</v>
      </c>
      <c r="I252">
        <v>107</v>
      </c>
      <c r="J252">
        <v>305</v>
      </c>
      <c r="K252" s="3">
        <v>12.09</v>
      </c>
      <c r="L252" s="3">
        <v>3687.45</v>
      </c>
      <c r="M252" t="s">
        <v>49</v>
      </c>
    </row>
    <row r="253" spans="1:13">
      <c r="A253" t="s">
        <v>320</v>
      </c>
      <c r="B253" s="2">
        <v>46093</v>
      </c>
      <c r="C253" t="s">
        <v>80</v>
      </c>
      <c r="D253" t="s">
        <v>81</v>
      </c>
      <c r="E253" t="s">
        <v>28</v>
      </c>
      <c r="F253" t="s">
        <v>33</v>
      </c>
      <c r="G253">
        <v>466</v>
      </c>
      <c r="H253">
        <v>64</v>
      </c>
      <c r="I253">
        <v>13</v>
      </c>
      <c r="J253">
        <v>517</v>
      </c>
      <c r="K253" s="3">
        <v>4.91</v>
      </c>
      <c r="L253" s="3">
        <v>2538.4699999999998</v>
      </c>
      <c r="M253" t="s">
        <v>18</v>
      </c>
    </row>
    <row r="254" spans="1:13">
      <c r="A254" t="s">
        <v>321</v>
      </c>
      <c r="B254" s="2">
        <v>46075</v>
      </c>
      <c r="C254" t="s">
        <v>47</v>
      </c>
      <c r="D254" t="s">
        <v>48</v>
      </c>
      <c r="E254" t="s">
        <v>43</v>
      </c>
      <c r="F254" t="s">
        <v>44</v>
      </c>
      <c r="G254">
        <v>384</v>
      </c>
      <c r="H254">
        <v>132</v>
      </c>
      <c r="I254">
        <v>217</v>
      </c>
      <c r="J254">
        <v>299</v>
      </c>
      <c r="K254" s="3">
        <v>156.24</v>
      </c>
      <c r="L254" s="3">
        <v>46715.76</v>
      </c>
      <c r="M254" t="s">
        <v>49</v>
      </c>
    </row>
    <row r="255" spans="1:13">
      <c r="A255" t="s">
        <v>322</v>
      </c>
      <c r="B255" s="2">
        <v>46162</v>
      </c>
      <c r="C255" t="s">
        <v>14</v>
      </c>
      <c r="D255" t="s">
        <v>15</v>
      </c>
      <c r="E255" t="s">
        <v>16</v>
      </c>
      <c r="F255" t="s">
        <v>17</v>
      </c>
      <c r="G255">
        <v>250</v>
      </c>
      <c r="H255">
        <v>131</v>
      </c>
      <c r="I255">
        <v>37</v>
      </c>
      <c r="J255">
        <v>344</v>
      </c>
      <c r="K255" s="3">
        <v>200.53</v>
      </c>
      <c r="L255" s="3">
        <v>68982.320000000007</v>
      </c>
      <c r="M255" t="s">
        <v>49</v>
      </c>
    </row>
    <row r="256" spans="1:13">
      <c r="A256" t="s">
        <v>323</v>
      </c>
      <c r="B256" s="2">
        <v>46253</v>
      </c>
      <c r="C256" t="s">
        <v>51</v>
      </c>
      <c r="D256" t="s">
        <v>52</v>
      </c>
      <c r="E256" t="s">
        <v>28</v>
      </c>
      <c r="F256" t="s">
        <v>33</v>
      </c>
      <c r="G256">
        <v>472</v>
      </c>
      <c r="H256">
        <v>89</v>
      </c>
      <c r="I256">
        <v>6</v>
      </c>
      <c r="J256">
        <v>555</v>
      </c>
      <c r="K256" s="3">
        <v>26.71</v>
      </c>
      <c r="L256" s="3">
        <v>14824.05</v>
      </c>
      <c r="M256" t="s">
        <v>18</v>
      </c>
    </row>
    <row r="257" spans="1:13">
      <c r="A257" t="s">
        <v>324</v>
      </c>
      <c r="B257" s="2">
        <v>46214</v>
      </c>
      <c r="C257" t="s">
        <v>59</v>
      </c>
      <c r="D257" t="s">
        <v>60</v>
      </c>
      <c r="E257" t="s">
        <v>16</v>
      </c>
      <c r="F257" t="s">
        <v>17</v>
      </c>
      <c r="G257">
        <v>140</v>
      </c>
      <c r="H257">
        <v>98</v>
      </c>
      <c r="I257">
        <v>20</v>
      </c>
      <c r="J257">
        <v>218</v>
      </c>
      <c r="K257" s="3">
        <v>62.78</v>
      </c>
      <c r="L257" s="3">
        <v>13686.04</v>
      </c>
      <c r="M257" t="s">
        <v>49</v>
      </c>
    </row>
    <row r="258" spans="1:13">
      <c r="A258" t="s">
        <v>325</v>
      </c>
      <c r="B258" s="2">
        <v>46073</v>
      </c>
      <c r="C258" t="s">
        <v>66</v>
      </c>
      <c r="D258" t="s">
        <v>67</v>
      </c>
      <c r="E258" t="s">
        <v>16</v>
      </c>
      <c r="F258" t="s">
        <v>68</v>
      </c>
      <c r="G258">
        <v>449</v>
      </c>
      <c r="H258">
        <v>166</v>
      </c>
      <c r="I258">
        <v>85</v>
      </c>
      <c r="J258">
        <v>530</v>
      </c>
      <c r="K258" s="3">
        <v>66.53</v>
      </c>
      <c r="L258" s="3">
        <v>35260.9</v>
      </c>
      <c r="M258" t="s">
        <v>49</v>
      </c>
    </row>
    <row r="259" spans="1:13">
      <c r="A259" t="s">
        <v>326</v>
      </c>
      <c r="B259" s="2">
        <v>46169</v>
      </c>
      <c r="C259" t="s">
        <v>86</v>
      </c>
      <c r="D259" t="s">
        <v>87</v>
      </c>
      <c r="E259" t="s">
        <v>43</v>
      </c>
      <c r="F259" t="s">
        <v>44</v>
      </c>
      <c r="G259">
        <v>489</v>
      </c>
      <c r="H259">
        <v>120</v>
      </c>
      <c r="I259">
        <v>178</v>
      </c>
      <c r="J259">
        <v>431</v>
      </c>
      <c r="K259" s="3">
        <v>10.45</v>
      </c>
      <c r="L259" s="3">
        <v>4503.95</v>
      </c>
      <c r="M259" t="s">
        <v>24</v>
      </c>
    </row>
    <row r="260" spans="1:13">
      <c r="A260" t="s">
        <v>327</v>
      </c>
      <c r="B260" s="2">
        <v>46252</v>
      </c>
      <c r="C260" t="s">
        <v>124</v>
      </c>
      <c r="D260" t="s">
        <v>125</v>
      </c>
      <c r="E260" t="s">
        <v>22</v>
      </c>
      <c r="F260" t="s">
        <v>23</v>
      </c>
      <c r="G260">
        <v>335</v>
      </c>
      <c r="H260">
        <v>1</v>
      </c>
      <c r="I260">
        <v>20</v>
      </c>
      <c r="J260">
        <v>316</v>
      </c>
      <c r="K260" s="3">
        <v>142.1</v>
      </c>
      <c r="L260" s="3">
        <v>44903.6</v>
      </c>
      <c r="M260" t="s">
        <v>49</v>
      </c>
    </row>
    <row r="261" spans="1:13">
      <c r="A261" t="s">
        <v>328</v>
      </c>
      <c r="B261" s="2">
        <v>46293</v>
      </c>
      <c r="C261" t="s">
        <v>77</v>
      </c>
      <c r="D261" t="s">
        <v>78</v>
      </c>
      <c r="E261" t="s">
        <v>16</v>
      </c>
      <c r="F261" t="s">
        <v>17</v>
      </c>
      <c r="G261">
        <v>236</v>
      </c>
      <c r="H261">
        <v>28</v>
      </c>
      <c r="I261">
        <v>198</v>
      </c>
      <c r="J261">
        <v>66</v>
      </c>
      <c r="K261" s="3">
        <v>199.98</v>
      </c>
      <c r="L261" s="3">
        <v>13198.68</v>
      </c>
      <c r="M261" t="s">
        <v>18</v>
      </c>
    </row>
    <row r="262" spans="1:13">
      <c r="A262" t="s">
        <v>329</v>
      </c>
      <c r="B262" s="2">
        <v>46047</v>
      </c>
      <c r="C262" t="s">
        <v>20</v>
      </c>
      <c r="D262" t="s">
        <v>21</v>
      </c>
      <c r="E262" t="s">
        <v>22</v>
      </c>
      <c r="F262" t="s">
        <v>23</v>
      </c>
      <c r="G262">
        <v>142</v>
      </c>
      <c r="H262">
        <v>107</v>
      </c>
      <c r="I262">
        <v>163</v>
      </c>
      <c r="J262">
        <v>86</v>
      </c>
      <c r="K262" s="3">
        <v>67.88</v>
      </c>
      <c r="L262" s="3">
        <v>5837.68</v>
      </c>
      <c r="M262" t="s">
        <v>18</v>
      </c>
    </row>
    <row r="263" spans="1:13">
      <c r="A263" t="s">
        <v>330</v>
      </c>
      <c r="B263" s="2">
        <v>46079</v>
      </c>
      <c r="C263" t="s">
        <v>31</v>
      </c>
      <c r="D263" t="s">
        <v>32</v>
      </c>
      <c r="E263" t="s">
        <v>28</v>
      </c>
      <c r="F263" t="s">
        <v>33</v>
      </c>
      <c r="G263">
        <v>448</v>
      </c>
      <c r="H263">
        <v>127</v>
      </c>
      <c r="I263">
        <v>152</v>
      </c>
      <c r="J263">
        <v>423</v>
      </c>
      <c r="K263" s="3">
        <v>79.64</v>
      </c>
      <c r="L263" s="3">
        <v>33687.72</v>
      </c>
      <c r="M263" t="s">
        <v>24</v>
      </c>
    </row>
    <row r="264" spans="1:13">
      <c r="A264" t="s">
        <v>331</v>
      </c>
      <c r="B264" s="2">
        <v>46146</v>
      </c>
      <c r="C264" t="s">
        <v>59</v>
      </c>
      <c r="D264" t="s">
        <v>60</v>
      </c>
      <c r="E264" t="s">
        <v>16</v>
      </c>
      <c r="F264" t="s">
        <v>17</v>
      </c>
      <c r="G264">
        <v>387</v>
      </c>
      <c r="H264">
        <v>36</v>
      </c>
      <c r="I264">
        <v>74</v>
      </c>
      <c r="J264">
        <v>349</v>
      </c>
      <c r="K264" s="3">
        <v>63.34</v>
      </c>
      <c r="L264" s="3">
        <v>22105.66</v>
      </c>
      <c r="M264" t="s">
        <v>24</v>
      </c>
    </row>
    <row r="265" spans="1:13">
      <c r="A265" t="s">
        <v>332</v>
      </c>
      <c r="B265" s="2">
        <v>46146</v>
      </c>
      <c r="C265" t="s">
        <v>41</v>
      </c>
      <c r="D265" t="s">
        <v>42</v>
      </c>
      <c r="E265" t="s">
        <v>43</v>
      </c>
      <c r="F265" t="s">
        <v>44</v>
      </c>
      <c r="G265">
        <v>312</v>
      </c>
      <c r="H265">
        <v>106</v>
      </c>
      <c r="I265">
        <v>47</v>
      </c>
      <c r="J265">
        <v>371</v>
      </c>
      <c r="K265" s="3">
        <v>146.74</v>
      </c>
      <c r="L265" s="3">
        <v>54440.54</v>
      </c>
      <c r="M265" t="s">
        <v>49</v>
      </c>
    </row>
    <row r="266" spans="1:13">
      <c r="A266" t="s">
        <v>333</v>
      </c>
      <c r="B266" s="2">
        <v>46207</v>
      </c>
      <c r="C266" t="s">
        <v>59</v>
      </c>
      <c r="D266" t="s">
        <v>60</v>
      </c>
      <c r="E266" t="s">
        <v>16</v>
      </c>
      <c r="F266" t="s">
        <v>17</v>
      </c>
      <c r="G266">
        <v>54</v>
      </c>
      <c r="H266">
        <v>134</v>
      </c>
      <c r="I266">
        <v>139</v>
      </c>
      <c r="J266">
        <v>49</v>
      </c>
      <c r="K266" s="3">
        <v>64.14</v>
      </c>
      <c r="L266" s="3">
        <v>3142.86</v>
      </c>
      <c r="M266" t="s">
        <v>24</v>
      </c>
    </row>
    <row r="267" spans="1:13">
      <c r="A267" t="s">
        <v>334</v>
      </c>
      <c r="B267" s="2">
        <v>46033</v>
      </c>
      <c r="C267" t="s">
        <v>47</v>
      </c>
      <c r="D267" t="s">
        <v>48</v>
      </c>
      <c r="E267" t="s">
        <v>43</v>
      </c>
      <c r="F267" t="s">
        <v>44</v>
      </c>
      <c r="G267">
        <v>219</v>
      </c>
      <c r="H267">
        <v>120</v>
      </c>
      <c r="I267">
        <v>11</v>
      </c>
      <c r="J267">
        <v>328</v>
      </c>
      <c r="K267" s="3">
        <v>169.83</v>
      </c>
      <c r="L267" s="3">
        <v>55704.24</v>
      </c>
      <c r="M267" t="s">
        <v>18</v>
      </c>
    </row>
    <row r="268" spans="1:13">
      <c r="A268" t="s">
        <v>335</v>
      </c>
      <c r="B268" s="2">
        <v>46031</v>
      </c>
      <c r="C268" t="s">
        <v>26</v>
      </c>
      <c r="D268" t="s">
        <v>27</v>
      </c>
      <c r="E268" t="s">
        <v>28</v>
      </c>
      <c r="F268" t="s">
        <v>29</v>
      </c>
      <c r="G268">
        <v>202</v>
      </c>
      <c r="H268">
        <v>17</v>
      </c>
      <c r="I268">
        <v>88</v>
      </c>
      <c r="J268">
        <v>131</v>
      </c>
      <c r="K268" s="3">
        <v>114.91</v>
      </c>
      <c r="L268" s="3">
        <v>15053.21</v>
      </c>
      <c r="M268" t="s">
        <v>24</v>
      </c>
    </row>
    <row r="269" spans="1:13">
      <c r="A269" t="s">
        <v>336</v>
      </c>
      <c r="B269" s="2">
        <v>46193</v>
      </c>
      <c r="C269" t="s">
        <v>20</v>
      </c>
      <c r="D269" t="s">
        <v>21</v>
      </c>
      <c r="E269" t="s">
        <v>22</v>
      </c>
      <c r="F269" t="s">
        <v>23</v>
      </c>
      <c r="G269">
        <v>88</v>
      </c>
      <c r="H269">
        <v>11</v>
      </c>
      <c r="I269">
        <v>45</v>
      </c>
      <c r="J269">
        <v>54</v>
      </c>
      <c r="K269" s="3">
        <v>65.31</v>
      </c>
      <c r="L269" s="3">
        <v>3526.74</v>
      </c>
      <c r="M269" t="s">
        <v>24</v>
      </c>
    </row>
    <row r="270" spans="1:13">
      <c r="A270" t="s">
        <v>337</v>
      </c>
      <c r="B270" s="2">
        <v>46260</v>
      </c>
      <c r="C270" t="s">
        <v>14</v>
      </c>
      <c r="D270" t="s">
        <v>15</v>
      </c>
      <c r="E270" t="s">
        <v>16</v>
      </c>
      <c r="F270" t="s">
        <v>17</v>
      </c>
      <c r="G270">
        <v>376</v>
      </c>
      <c r="H270">
        <v>122</v>
      </c>
      <c r="I270">
        <v>161</v>
      </c>
      <c r="J270">
        <v>337</v>
      </c>
      <c r="K270" s="3">
        <v>180.76</v>
      </c>
      <c r="L270" s="3">
        <v>60916.12</v>
      </c>
      <c r="M270" t="s">
        <v>49</v>
      </c>
    </row>
    <row r="271" spans="1:13">
      <c r="A271" t="s">
        <v>338</v>
      </c>
      <c r="B271" s="2">
        <v>46257</v>
      </c>
      <c r="C271" t="s">
        <v>31</v>
      </c>
      <c r="D271" t="s">
        <v>32</v>
      </c>
      <c r="E271" t="s">
        <v>28</v>
      </c>
      <c r="F271" t="s">
        <v>33</v>
      </c>
      <c r="G271">
        <v>38</v>
      </c>
      <c r="H271">
        <v>75</v>
      </c>
      <c r="I271">
        <v>25</v>
      </c>
      <c r="J271">
        <v>88</v>
      </c>
      <c r="K271" s="3">
        <v>73.400000000000006</v>
      </c>
      <c r="L271" s="3">
        <v>6459.2</v>
      </c>
      <c r="M271" t="s">
        <v>49</v>
      </c>
    </row>
    <row r="272" spans="1:13">
      <c r="A272" t="s">
        <v>339</v>
      </c>
      <c r="B272" s="2">
        <v>46184</v>
      </c>
      <c r="C272" t="s">
        <v>86</v>
      </c>
      <c r="D272" t="s">
        <v>87</v>
      </c>
      <c r="E272" t="s">
        <v>43</v>
      </c>
      <c r="F272" t="s">
        <v>44</v>
      </c>
      <c r="G272">
        <v>497</v>
      </c>
      <c r="H272">
        <v>79</v>
      </c>
      <c r="I272">
        <v>131</v>
      </c>
      <c r="J272">
        <v>445</v>
      </c>
      <c r="K272" s="3">
        <v>9.77</v>
      </c>
      <c r="L272" s="3">
        <v>4347.6499999999996</v>
      </c>
      <c r="M272" t="s">
        <v>24</v>
      </c>
    </row>
    <row r="273" spans="1:13">
      <c r="A273" t="s">
        <v>340</v>
      </c>
      <c r="B273" s="2">
        <v>46152</v>
      </c>
      <c r="C273" t="s">
        <v>124</v>
      </c>
      <c r="D273" t="s">
        <v>125</v>
      </c>
      <c r="E273" t="s">
        <v>22</v>
      </c>
      <c r="F273" t="s">
        <v>23</v>
      </c>
      <c r="G273">
        <v>38</v>
      </c>
      <c r="H273">
        <v>165</v>
      </c>
      <c r="I273">
        <v>48</v>
      </c>
      <c r="J273">
        <v>155</v>
      </c>
      <c r="K273" s="3">
        <v>148.68</v>
      </c>
      <c r="L273" s="3">
        <v>23045.4</v>
      </c>
      <c r="M273" t="s">
        <v>49</v>
      </c>
    </row>
    <row r="274" spans="1:13">
      <c r="A274" t="s">
        <v>341</v>
      </c>
      <c r="B274" s="2">
        <v>46162</v>
      </c>
      <c r="C274" t="s">
        <v>66</v>
      </c>
      <c r="D274" t="s">
        <v>67</v>
      </c>
      <c r="E274" t="s">
        <v>16</v>
      </c>
      <c r="F274" t="s">
        <v>68</v>
      </c>
      <c r="G274">
        <v>83</v>
      </c>
      <c r="H274">
        <v>94</v>
      </c>
      <c r="I274">
        <v>111</v>
      </c>
      <c r="J274">
        <v>66</v>
      </c>
      <c r="K274" s="3">
        <v>67.52</v>
      </c>
      <c r="L274" s="3">
        <v>4456.32</v>
      </c>
      <c r="M274" t="s">
        <v>24</v>
      </c>
    </row>
    <row r="275" spans="1:13">
      <c r="A275" t="s">
        <v>342</v>
      </c>
      <c r="B275" s="2">
        <v>46220</v>
      </c>
      <c r="C275" t="s">
        <v>55</v>
      </c>
      <c r="D275" t="s">
        <v>56</v>
      </c>
      <c r="E275" t="s">
        <v>28</v>
      </c>
      <c r="F275" t="s">
        <v>29</v>
      </c>
      <c r="G275">
        <v>193</v>
      </c>
      <c r="H275">
        <v>47</v>
      </c>
      <c r="I275">
        <v>127</v>
      </c>
      <c r="J275">
        <v>113</v>
      </c>
      <c r="K275" s="3">
        <v>188.64</v>
      </c>
      <c r="L275" s="3">
        <v>21316.32</v>
      </c>
      <c r="M275" t="s">
        <v>18</v>
      </c>
    </row>
    <row r="276" spans="1:13">
      <c r="A276" t="s">
        <v>343</v>
      </c>
      <c r="B276" s="2">
        <v>46159</v>
      </c>
      <c r="C276" t="s">
        <v>59</v>
      </c>
      <c r="D276" t="s">
        <v>60</v>
      </c>
      <c r="E276" t="s">
        <v>16</v>
      </c>
      <c r="F276" t="s">
        <v>17</v>
      </c>
      <c r="G276">
        <v>430</v>
      </c>
      <c r="H276">
        <v>21</v>
      </c>
      <c r="I276">
        <v>186</v>
      </c>
      <c r="J276">
        <v>265</v>
      </c>
      <c r="K276" s="3">
        <v>63.29</v>
      </c>
      <c r="L276" s="3">
        <v>16771.849999999999</v>
      </c>
      <c r="M276" t="s">
        <v>18</v>
      </c>
    </row>
    <row r="277" spans="1:13">
      <c r="A277" t="s">
        <v>344</v>
      </c>
      <c r="B277" s="2">
        <v>46115</v>
      </c>
      <c r="C277" t="s">
        <v>80</v>
      </c>
      <c r="D277" t="s">
        <v>81</v>
      </c>
      <c r="E277" t="s">
        <v>28</v>
      </c>
      <c r="F277" t="s">
        <v>33</v>
      </c>
      <c r="G277">
        <v>299</v>
      </c>
      <c r="H277">
        <v>75</v>
      </c>
      <c r="I277">
        <v>82</v>
      </c>
      <c r="J277">
        <v>292</v>
      </c>
      <c r="K277" s="3">
        <v>4.49</v>
      </c>
      <c r="L277" s="3">
        <v>1311.08</v>
      </c>
      <c r="M277" t="s">
        <v>18</v>
      </c>
    </row>
    <row r="278" spans="1:13">
      <c r="A278" t="s">
        <v>345</v>
      </c>
      <c r="B278" s="2">
        <v>46179</v>
      </c>
      <c r="C278" t="s">
        <v>71</v>
      </c>
      <c r="D278" t="s">
        <v>72</v>
      </c>
      <c r="E278" t="s">
        <v>22</v>
      </c>
      <c r="F278" t="s">
        <v>68</v>
      </c>
      <c r="G278">
        <v>248</v>
      </c>
      <c r="H278">
        <v>154</v>
      </c>
      <c r="I278">
        <v>183</v>
      </c>
      <c r="J278">
        <v>219</v>
      </c>
      <c r="K278" s="3">
        <v>11.12</v>
      </c>
      <c r="L278" s="3">
        <v>2435.2800000000002</v>
      </c>
      <c r="M278" t="s">
        <v>24</v>
      </c>
    </row>
    <row r="279" spans="1:13">
      <c r="A279" t="s">
        <v>346</v>
      </c>
      <c r="B279" s="2">
        <v>46202</v>
      </c>
      <c r="C279" t="s">
        <v>55</v>
      </c>
      <c r="D279" t="s">
        <v>56</v>
      </c>
      <c r="E279" t="s">
        <v>28</v>
      </c>
      <c r="F279" t="s">
        <v>29</v>
      </c>
      <c r="G279">
        <v>248</v>
      </c>
      <c r="H279">
        <v>10</v>
      </c>
      <c r="I279">
        <v>186</v>
      </c>
      <c r="J279">
        <v>72</v>
      </c>
      <c r="K279" s="3">
        <v>193.85</v>
      </c>
      <c r="L279" s="3">
        <v>13957.2</v>
      </c>
      <c r="M279" t="s">
        <v>18</v>
      </c>
    </row>
    <row r="280" spans="1:13">
      <c r="A280" t="s">
        <v>347</v>
      </c>
      <c r="B280" s="2">
        <v>46245</v>
      </c>
      <c r="C280" t="s">
        <v>80</v>
      </c>
      <c r="D280" t="s">
        <v>81</v>
      </c>
      <c r="E280" t="s">
        <v>28</v>
      </c>
      <c r="F280" t="s">
        <v>33</v>
      </c>
      <c r="G280">
        <v>160</v>
      </c>
      <c r="H280">
        <v>163</v>
      </c>
      <c r="I280">
        <v>202</v>
      </c>
      <c r="J280">
        <v>121</v>
      </c>
      <c r="K280" s="3">
        <v>5.14</v>
      </c>
      <c r="L280" s="3">
        <v>621.94000000000005</v>
      </c>
      <c r="M280" t="s">
        <v>49</v>
      </c>
    </row>
    <row r="281" spans="1:13">
      <c r="A281" t="s">
        <v>348</v>
      </c>
      <c r="B281" s="2">
        <v>46209</v>
      </c>
      <c r="C281" t="s">
        <v>136</v>
      </c>
      <c r="D281" t="s">
        <v>137</v>
      </c>
      <c r="E281" t="s">
        <v>37</v>
      </c>
      <c r="F281" t="s">
        <v>38</v>
      </c>
      <c r="G281">
        <v>282</v>
      </c>
      <c r="H281">
        <v>173</v>
      </c>
      <c r="I281">
        <v>40</v>
      </c>
      <c r="J281">
        <v>415</v>
      </c>
      <c r="K281" s="3">
        <v>11.1</v>
      </c>
      <c r="L281" s="3">
        <v>4606.5</v>
      </c>
      <c r="M281" t="s">
        <v>49</v>
      </c>
    </row>
    <row r="282" spans="1:13">
      <c r="A282" t="s">
        <v>349</v>
      </c>
      <c r="B282" s="2">
        <v>46247</v>
      </c>
      <c r="C282" t="s">
        <v>80</v>
      </c>
      <c r="D282" t="s">
        <v>81</v>
      </c>
      <c r="E282" t="s">
        <v>28</v>
      </c>
      <c r="F282" t="s">
        <v>33</v>
      </c>
      <c r="G282">
        <v>37</v>
      </c>
      <c r="H282">
        <v>32</v>
      </c>
      <c r="I282">
        <v>8</v>
      </c>
      <c r="J282">
        <v>61</v>
      </c>
      <c r="K282" s="3">
        <v>4.5999999999999996</v>
      </c>
      <c r="L282" s="3">
        <v>280.60000000000002</v>
      </c>
      <c r="M282" t="s">
        <v>24</v>
      </c>
    </row>
    <row r="283" spans="1:13">
      <c r="A283" t="s">
        <v>350</v>
      </c>
      <c r="B283" s="2">
        <v>46208</v>
      </c>
      <c r="C283" t="s">
        <v>41</v>
      </c>
      <c r="D283" t="s">
        <v>42</v>
      </c>
      <c r="E283" t="s">
        <v>43</v>
      </c>
      <c r="F283" t="s">
        <v>44</v>
      </c>
      <c r="G283">
        <v>216</v>
      </c>
      <c r="H283">
        <v>145</v>
      </c>
      <c r="I283">
        <v>8</v>
      </c>
      <c r="J283">
        <v>353</v>
      </c>
      <c r="K283" s="3">
        <v>145.38999999999999</v>
      </c>
      <c r="L283" s="3">
        <v>51322.67</v>
      </c>
      <c r="M283" t="s">
        <v>24</v>
      </c>
    </row>
    <row r="284" spans="1:13">
      <c r="A284" t="s">
        <v>351</v>
      </c>
      <c r="B284" s="2">
        <v>46212</v>
      </c>
      <c r="C284" t="s">
        <v>55</v>
      </c>
      <c r="D284" t="s">
        <v>56</v>
      </c>
      <c r="E284" t="s">
        <v>28</v>
      </c>
      <c r="F284" t="s">
        <v>29</v>
      </c>
      <c r="G284">
        <v>210</v>
      </c>
      <c r="H284">
        <v>113</v>
      </c>
      <c r="I284">
        <v>195</v>
      </c>
      <c r="J284">
        <v>128</v>
      </c>
      <c r="K284" s="3">
        <v>170.63</v>
      </c>
      <c r="L284" s="3">
        <v>21840.639999999999</v>
      </c>
      <c r="M284" t="s">
        <v>49</v>
      </c>
    </row>
    <row r="285" spans="1:13">
      <c r="A285" t="s">
        <v>352</v>
      </c>
      <c r="B285" s="2">
        <v>46210</v>
      </c>
      <c r="C285" t="s">
        <v>59</v>
      </c>
      <c r="D285" t="s">
        <v>60</v>
      </c>
      <c r="E285" t="s">
        <v>16</v>
      </c>
      <c r="F285" t="s">
        <v>17</v>
      </c>
      <c r="G285">
        <v>223</v>
      </c>
      <c r="H285">
        <v>80</v>
      </c>
      <c r="I285">
        <v>166</v>
      </c>
      <c r="J285">
        <v>137</v>
      </c>
      <c r="K285" s="3">
        <v>61.79</v>
      </c>
      <c r="L285" s="3">
        <v>8465.23</v>
      </c>
      <c r="M285" t="s">
        <v>49</v>
      </c>
    </row>
    <row r="286" spans="1:13">
      <c r="A286" t="s">
        <v>353</v>
      </c>
      <c r="B286" s="2">
        <v>46118</v>
      </c>
      <c r="C286" t="s">
        <v>116</v>
      </c>
      <c r="D286" t="s">
        <v>117</v>
      </c>
      <c r="E286" t="s">
        <v>22</v>
      </c>
      <c r="F286" t="s">
        <v>23</v>
      </c>
      <c r="G286">
        <v>275</v>
      </c>
      <c r="H286">
        <v>132</v>
      </c>
      <c r="I286">
        <v>99</v>
      </c>
      <c r="J286">
        <v>308</v>
      </c>
      <c r="K286" s="3">
        <v>192.04</v>
      </c>
      <c r="L286" s="3">
        <v>59148.32</v>
      </c>
      <c r="M286" t="s">
        <v>49</v>
      </c>
    </row>
    <row r="287" spans="1:13">
      <c r="A287" t="s">
        <v>354</v>
      </c>
      <c r="B287" s="2">
        <v>46156</v>
      </c>
      <c r="C287" t="s">
        <v>26</v>
      </c>
      <c r="D287" t="s">
        <v>27</v>
      </c>
      <c r="E287" t="s">
        <v>28</v>
      </c>
      <c r="F287" t="s">
        <v>29</v>
      </c>
      <c r="G287">
        <v>380</v>
      </c>
      <c r="H287">
        <v>114</v>
      </c>
      <c r="I287">
        <v>54</v>
      </c>
      <c r="J287">
        <v>440</v>
      </c>
      <c r="K287" s="3">
        <v>129.38999999999999</v>
      </c>
      <c r="L287" s="3">
        <v>56931.6</v>
      </c>
      <c r="M287" t="s">
        <v>18</v>
      </c>
    </row>
    <row r="288" spans="1:13">
      <c r="A288" t="s">
        <v>355</v>
      </c>
      <c r="B288" s="2">
        <v>46125</v>
      </c>
      <c r="C288" t="s">
        <v>124</v>
      </c>
      <c r="D288" t="s">
        <v>125</v>
      </c>
      <c r="E288" t="s">
        <v>22</v>
      </c>
      <c r="F288" t="s">
        <v>23</v>
      </c>
      <c r="G288">
        <v>82</v>
      </c>
      <c r="H288">
        <v>34</v>
      </c>
      <c r="I288">
        <v>109</v>
      </c>
      <c r="J288">
        <v>7</v>
      </c>
      <c r="K288" s="3">
        <v>143.46</v>
      </c>
      <c r="L288" s="3">
        <v>1004.22</v>
      </c>
      <c r="M288" t="s">
        <v>49</v>
      </c>
    </row>
    <row r="289" spans="1:13">
      <c r="A289" t="s">
        <v>356</v>
      </c>
      <c r="B289" s="2">
        <v>46067</v>
      </c>
      <c r="C289" t="s">
        <v>55</v>
      </c>
      <c r="D289" t="s">
        <v>56</v>
      </c>
      <c r="E289" t="s">
        <v>28</v>
      </c>
      <c r="F289" t="s">
        <v>29</v>
      </c>
      <c r="G289">
        <v>434</v>
      </c>
      <c r="H289">
        <v>174</v>
      </c>
      <c r="I289">
        <v>216</v>
      </c>
      <c r="J289">
        <v>392</v>
      </c>
      <c r="K289" s="3">
        <v>197.27</v>
      </c>
      <c r="L289" s="3">
        <v>77329.84</v>
      </c>
      <c r="M289" t="s">
        <v>24</v>
      </c>
    </row>
    <row r="290" spans="1:13">
      <c r="A290" t="s">
        <v>357</v>
      </c>
      <c r="B290" s="2">
        <v>46056</v>
      </c>
      <c r="C290" t="s">
        <v>41</v>
      </c>
      <c r="D290" t="s">
        <v>42</v>
      </c>
      <c r="E290" t="s">
        <v>43</v>
      </c>
      <c r="F290" t="s">
        <v>44</v>
      </c>
      <c r="G290">
        <v>301</v>
      </c>
      <c r="H290">
        <v>138</v>
      </c>
      <c r="I290">
        <v>74</v>
      </c>
      <c r="J290">
        <v>365</v>
      </c>
      <c r="K290" s="3">
        <v>151.94</v>
      </c>
      <c r="L290" s="3">
        <v>55458.1</v>
      </c>
      <c r="M290" t="s">
        <v>49</v>
      </c>
    </row>
    <row r="291" spans="1:13">
      <c r="A291" t="s">
        <v>358</v>
      </c>
      <c r="B291" s="2">
        <v>46208</v>
      </c>
      <c r="C291" t="s">
        <v>14</v>
      </c>
      <c r="D291" t="s">
        <v>15</v>
      </c>
      <c r="E291" t="s">
        <v>16</v>
      </c>
      <c r="F291" t="s">
        <v>17</v>
      </c>
      <c r="G291">
        <v>280</v>
      </c>
      <c r="H291">
        <v>57</v>
      </c>
      <c r="I291">
        <v>31</v>
      </c>
      <c r="J291">
        <v>306</v>
      </c>
      <c r="K291" s="3">
        <v>205.23</v>
      </c>
      <c r="L291" s="3">
        <v>62800.38</v>
      </c>
      <c r="M291" t="s">
        <v>49</v>
      </c>
    </row>
    <row r="292" spans="1:13">
      <c r="A292" t="s">
        <v>359</v>
      </c>
      <c r="B292" s="2">
        <v>46275</v>
      </c>
      <c r="C292" t="s">
        <v>51</v>
      </c>
      <c r="D292" t="s">
        <v>52</v>
      </c>
      <c r="E292" t="s">
        <v>28</v>
      </c>
      <c r="F292" t="s">
        <v>33</v>
      </c>
      <c r="G292">
        <v>33</v>
      </c>
      <c r="H292">
        <v>92</v>
      </c>
      <c r="I292">
        <v>70</v>
      </c>
      <c r="J292">
        <v>55</v>
      </c>
      <c r="K292" s="3">
        <v>27.4</v>
      </c>
      <c r="L292" s="3">
        <v>1507</v>
      </c>
      <c r="M292" t="s">
        <v>18</v>
      </c>
    </row>
    <row r="293" spans="1:13">
      <c r="A293" t="s">
        <v>360</v>
      </c>
      <c r="B293" s="2">
        <v>46089</v>
      </c>
      <c r="C293" t="s">
        <v>47</v>
      </c>
      <c r="D293" t="s">
        <v>48</v>
      </c>
      <c r="E293" t="s">
        <v>43</v>
      </c>
      <c r="F293" t="s">
        <v>44</v>
      </c>
      <c r="G293">
        <v>333</v>
      </c>
      <c r="H293">
        <v>22</v>
      </c>
      <c r="I293">
        <v>16</v>
      </c>
      <c r="J293">
        <v>339</v>
      </c>
      <c r="K293" s="3">
        <v>161.15</v>
      </c>
      <c r="L293" s="3">
        <v>54629.85</v>
      </c>
      <c r="M293" t="s">
        <v>24</v>
      </c>
    </row>
    <row r="294" spans="1:13">
      <c r="A294" t="s">
        <v>361</v>
      </c>
      <c r="B294" s="2">
        <v>46292</v>
      </c>
      <c r="C294" t="s">
        <v>124</v>
      </c>
      <c r="D294" t="s">
        <v>125</v>
      </c>
      <c r="E294" t="s">
        <v>22</v>
      </c>
      <c r="F294" t="s">
        <v>23</v>
      </c>
      <c r="G294">
        <v>230</v>
      </c>
      <c r="H294">
        <v>104</v>
      </c>
      <c r="I294">
        <v>210</v>
      </c>
      <c r="J294">
        <v>124</v>
      </c>
      <c r="K294" s="3">
        <v>155.79</v>
      </c>
      <c r="L294" s="3">
        <v>19317.96</v>
      </c>
      <c r="M294" t="s">
        <v>49</v>
      </c>
    </row>
    <row r="295" spans="1:13">
      <c r="A295" t="s">
        <v>362</v>
      </c>
      <c r="B295" s="2">
        <v>46060</v>
      </c>
      <c r="C295" t="s">
        <v>66</v>
      </c>
      <c r="D295" t="s">
        <v>67</v>
      </c>
      <c r="E295" t="s">
        <v>16</v>
      </c>
      <c r="F295" t="s">
        <v>68</v>
      </c>
      <c r="G295">
        <v>250</v>
      </c>
      <c r="H295">
        <v>119</v>
      </c>
      <c r="I295">
        <v>174</v>
      </c>
      <c r="J295">
        <v>195</v>
      </c>
      <c r="K295" s="3">
        <v>63.74</v>
      </c>
      <c r="L295" s="3">
        <v>12429.3</v>
      </c>
      <c r="M295" t="s">
        <v>49</v>
      </c>
    </row>
    <row r="296" spans="1:13">
      <c r="A296" t="s">
        <v>363</v>
      </c>
      <c r="B296" s="2">
        <v>46116</v>
      </c>
      <c r="C296" t="s">
        <v>47</v>
      </c>
      <c r="D296" t="s">
        <v>48</v>
      </c>
      <c r="E296" t="s">
        <v>43</v>
      </c>
      <c r="F296" t="s">
        <v>44</v>
      </c>
      <c r="G296">
        <v>413</v>
      </c>
      <c r="H296">
        <v>33</v>
      </c>
      <c r="I296">
        <v>110</v>
      </c>
      <c r="J296">
        <v>336</v>
      </c>
      <c r="K296" s="3">
        <v>166.3</v>
      </c>
      <c r="L296" s="3">
        <v>55876.800000000003</v>
      </c>
      <c r="M296" t="s">
        <v>49</v>
      </c>
    </row>
    <row r="297" spans="1:13">
      <c r="A297" t="s">
        <v>364</v>
      </c>
      <c r="B297" s="2">
        <v>46288</v>
      </c>
      <c r="C297" t="s">
        <v>20</v>
      </c>
      <c r="D297" t="s">
        <v>21</v>
      </c>
      <c r="E297" t="s">
        <v>22</v>
      </c>
      <c r="F297" t="s">
        <v>23</v>
      </c>
      <c r="G297">
        <v>98</v>
      </c>
      <c r="H297">
        <v>77</v>
      </c>
      <c r="I297">
        <v>42</v>
      </c>
      <c r="J297">
        <v>133</v>
      </c>
      <c r="K297" s="3">
        <v>61.32</v>
      </c>
      <c r="L297" s="3">
        <v>8155.56</v>
      </c>
      <c r="M297" t="s">
        <v>24</v>
      </c>
    </row>
    <row r="298" spans="1:13">
      <c r="A298" t="s">
        <v>365</v>
      </c>
      <c r="B298" s="2">
        <v>46200</v>
      </c>
      <c r="C298" t="s">
        <v>51</v>
      </c>
      <c r="D298" t="s">
        <v>52</v>
      </c>
      <c r="E298" t="s">
        <v>28</v>
      </c>
      <c r="F298" t="s">
        <v>33</v>
      </c>
      <c r="G298">
        <v>285</v>
      </c>
      <c r="H298">
        <v>72</v>
      </c>
      <c r="I298">
        <v>216</v>
      </c>
      <c r="J298">
        <v>141</v>
      </c>
      <c r="K298" s="3">
        <v>25.26</v>
      </c>
      <c r="L298" s="3">
        <v>3561.66</v>
      </c>
      <c r="M298" t="s">
        <v>49</v>
      </c>
    </row>
    <row r="299" spans="1:13">
      <c r="A299" t="s">
        <v>366</v>
      </c>
      <c r="B299" s="2">
        <v>46163</v>
      </c>
      <c r="C299" t="s">
        <v>47</v>
      </c>
      <c r="D299" t="s">
        <v>48</v>
      </c>
      <c r="E299" t="s">
        <v>43</v>
      </c>
      <c r="F299" t="s">
        <v>44</v>
      </c>
      <c r="G299">
        <v>84</v>
      </c>
      <c r="H299">
        <v>160</v>
      </c>
      <c r="I299">
        <v>77</v>
      </c>
      <c r="J299">
        <v>167</v>
      </c>
      <c r="K299" s="3">
        <v>169.27</v>
      </c>
      <c r="L299" s="3">
        <v>28268.09</v>
      </c>
      <c r="M299" t="s">
        <v>49</v>
      </c>
    </row>
    <row r="300" spans="1:13">
      <c r="A300" t="s">
        <v>367</v>
      </c>
      <c r="B300" s="2">
        <v>46109</v>
      </c>
      <c r="C300" t="s">
        <v>59</v>
      </c>
      <c r="D300" t="s">
        <v>60</v>
      </c>
      <c r="E300" t="s">
        <v>16</v>
      </c>
      <c r="F300" t="s">
        <v>17</v>
      </c>
      <c r="G300">
        <v>323</v>
      </c>
      <c r="H300">
        <v>148</v>
      </c>
      <c r="I300">
        <v>39</v>
      </c>
      <c r="J300">
        <v>432</v>
      </c>
      <c r="K300" s="3">
        <v>60.69</v>
      </c>
      <c r="L300" s="3">
        <v>26218.080000000002</v>
      </c>
      <c r="M300" t="s">
        <v>24</v>
      </c>
    </row>
    <row r="301" spans="1:13">
      <c r="A301" t="s">
        <v>368</v>
      </c>
      <c r="B301" s="2">
        <v>46195</v>
      </c>
      <c r="C301" t="s">
        <v>80</v>
      </c>
      <c r="D301" t="s">
        <v>81</v>
      </c>
      <c r="E301" t="s">
        <v>28</v>
      </c>
      <c r="F301" t="s">
        <v>33</v>
      </c>
      <c r="G301">
        <v>451</v>
      </c>
      <c r="H301">
        <v>144</v>
      </c>
      <c r="I301">
        <v>10</v>
      </c>
      <c r="J301">
        <v>585</v>
      </c>
      <c r="K301" s="3">
        <v>5.05</v>
      </c>
      <c r="L301" s="3">
        <v>2954.25</v>
      </c>
      <c r="M301" t="s">
        <v>49</v>
      </c>
    </row>
    <row r="302" spans="1:13">
      <c r="A302" t="s">
        <v>369</v>
      </c>
      <c r="B302" s="2">
        <v>46046</v>
      </c>
      <c r="C302" t="s">
        <v>31</v>
      </c>
      <c r="D302" t="s">
        <v>32</v>
      </c>
      <c r="E302" t="s">
        <v>28</v>
      </c>
      <c r="F302" t="s">
        <v>33</v>
      </c>
      <c r="G302">
        <v>348</v>
      </c>
      <c r="H302">
        <v>147</v>
      </c>
      <c r="I302">
        <v>67</v>
      </c>
      <c r="J302">
        <v>428</v>
      </c>
      <c r="K302" s="3">
        <v>81.099999999999994</v>
      </c>
      <c r="L302" s="3">
        <v>34710.800000000003</v>
      </c>
      <c r="M302" t="s">
        <v>24</v>
      </c>
    </row>
    <row r="303" spans="1:13">
      <c r="A303" t="s">
        <v>370</v>
      </c>
      <c r="B303" s="2">
        <v>46038</v>
      </c>
      <c r="C303" t="s">
        <v>62</v>
      </c>
      <c r="D303" t="s">
        <v>63</v>
      </c>
      <c r="E303" t="s">
        <v>37</v>
      </c>
      <c r="F303" t="s">
        <v>38</v>
      </c>
      <c r="G303">
        <v>274</v>
      </c>
      <c r="H303">
        <v>160</v>
      </c>
      <c r="I303">
        <v>139</v>
      </c>
      <c r="J303">
        <v>295</v>
      </c>
      <c r="K303" s="3">
        <v>56.12</v>
      </c>
      <c r="L303" s="3">
        <v>16555.400000000001</v>
      </c>
      <c r="M303" t="s">
        <v>18</v>
      </c>
    </row>
    <row r="304" spans="1:13">
      <c r="A304" t="s">
        <v>371</v>
      </c>
      <c r="B304" s="2">
        <v>46148</v>
      </c>
      <c r="C304" t="s">
        <v>124</v>
      </c>
      <c r="D304" t="s">
        <v>125</v>
      </c>
      <c r="E304" t="s">
        <v>22</v>
      </c>
      <c r="F304" t="s">
        <v>23</v>
      </c>
      <c r="G304">
        <v>432</v>
      </c>
      <c r="H304">
        <v>175</v>
      </c>
      <c r="I304">
        <v>103</v>
      </c>
      <c r="J304">
        <v>504</v>
      </c>
      <c r="K304" s="3">
        <v>148.96</v>
      </c>
      <c r="L304" s="3">
        <v>75075.839999999997</v>
      </c>
      <c r="M304" t="s">
        <v>49</v>
      </c>
    </row>
    <row r="305" spans="1:13">
      <c r="A305" t="s">
        <v>372</v>
      </c>
      <c r="B305" s="2">
        <v>46103</v>
      </c>
      <c r="C305" t="s">
        <v>86</v>
      </c>
      <c r="D305" t="s">
        <v>87</v>
      </c>
      <c r="E305" t="s">
        <v>43</v>
      </c>
      <c r="F305" t="s">
        <v>44</v>
      </c>
      <c r="G305">
        <v>245</v>
      </c>
      <c r="H305">
        <v>106</v>
      </c>
      <c r="I305">
        <v>123</v>
      </c>
      <c r="J305">
        <v>228</v>
      </c>
      <c r="K305" s="3">
        <v>9.8699999999999992</v>
      </c>
      <c r="L305" s="3">
        <v>2250.36</v>
      </c>
      <c r="M305" t="s">
        <v>18</v>
      </c>
    </row>
    <row r="306" spans="1:13">
      <c r="A306" t="s">
        <v>373</v>
      </c>
      <c r="B306" s="2">
        <v>46096</v>
      </c>
      <c r="C306" t="s">
        <v>80</v>
      </c>
      <c r="D306" t="s">
        <v>81</v>
      </c>
      <c r="E306" t="s">
        <v>28</v>
      </c>
      <c r="F306" t="s">
        <v>33</v>
      </c>
      <c r="G306">
        <v>180</v>
      </c>
      <c r="H306">
        <v>81</v>
      </c>
      <c r="I306">
        <v>187</v>
      </c>
      <c r="J306">
        <v>74</v>
      </c>
      <c r="K306" s="3">
        <v>5.17</v>
      </c>
      <c r="L306" s="3">
        <v>382.58</v>
      </c>
      <c r="M306" t="s">
        <v>18</v>
      </c>
    </row>
    <row r="307" spans="1:13">
      <c r="A307" t="s">
        <v>374</v>
      </c>
      <c r="B307" s="2">
        <v>46089</v>
      </c>
      <c r="C307" t="s">
        <v>136</v>
      </c>
      <c r="D307" t="s">
        <v>137</v>
      </c>
      <c r="E307" t="s">
        <v>37</v>
      </c>
      <c r="F307" t="s">
        <v>38</v>
      </c>
      <c r="G307">
        <v>409</v>
      </c>
      <c r="H307">
        <v>94</v>
      </c>
      <c r="I307">
        <v>131</v>
      </c>
      <c r="J307">
        <v>372</v>
      </c>
      <c r="K307" s="3">
        <v>10.45</v>
      </c>
      <c r="L307" s="3">
        <v>3887.4</v>
      </c>
      <c r="M307" t="s">
        <v>18</v>
      </c>
    </row>
    <row r="308" spans="1:13">
      <c r="A308" t="s">
        <v>375</v>
      </c>
      <c r="B308" s="2">
        <v>46261</v>
      </c>
      <c r="C308" t="s">
        <v>51</v>
      </c>
      <c r="D308" t="s">
        <v>52</v>
      </c>
      <c r="E308" t="s">
        <v>28</v>
      </c>
      <c r="F308" t="s">
        <v>33</v>
      </c>
      <c r="G308">
        <v>82</v>
      </c>
      <c r="H308">
        <v>68</v>
      </c>
      <c r="I308">
        <v>115</v>
      </c>
      <c r="J308">
        <v>35</v>
      </c>
      <c r="K308" s="3">
        <v>25.99</v>
      </c>
      <c r="L308" s="3">
        <v>909.65</v>
      </c>
      <c r="M308" t="s">
        <v>49</v>
      </c>
    </row>
    <row r="309" spans="1:13">
      <c r="A309" t="s">
        <v>376</v>
      </c>
      <c r="B309" s="2">
        <v>46171</v>
      </c>
      <c r="C309" t="s">
        <v>86</v>
      </c>
      <c r="D309" t="s">
        <v>87</v>
      </c>
      <c r="E309" t="s">
        <v>43</v>
      </c>
      <c r="F309" t="s">
        <v>44</v>
      </c>
      <c r="G309">
        <v>216</v>
      </c>
      <c r="H309">
        <v>157</v>
      </c>
      <c r="I309">
        <v>107</v>
      </c>
      <c r="J309">
        <v>266</v>
      </c>
      <c r="K309" s="3">
        <v>9.5299999999999994</v>
      </c>
      <c r="L309" s="3">
        <v>2534.98</v>
      </c>
      <c r="M309" t="s">
        <v>49</v>
      </c>
    </row>
    <row r="310" spans="1:13">
      <c r="A310" t="s">
        <v>377</v>
      </c>
      <c r="B310" s="2">
        <v>46183</v>
      </c>
      <c r="C310" t="s">
        <v>66</v>
      </c>
      <c r="D310" t="s">
        <v>67</v>
      </c>
      <c r="E310" t="s">
        <v>16</v>
      </c>
      <c r="F310" t="s">
        <v>68</v>
      </c>
      <c r="G310">
        <v>117</v>
      </c>
      <c r="H310">
        <v>40</v>
      </c>
      <c r="I310">
        <v>127</v>
      </c>
      <c r="J310">
        <v>30</v>
      </c>
      <c r="K310" s="3">
        <v>68.61</v>
      </c>
      <c r="L310" s="3">
        <v>2058.3000000000002</v>
      </c>
      <c r="M310" t="s">
        <v>18</v>
      </c>
    </row>
    <row r="311" spans="1:13">
      <c r="A311" t="s">
        <v>378</v>
      </c>
      <c r="B311" s="2">
        <v>46180</v>
      </c>
      <c r="C311" t="s">
        <v>124</v>
      </c>
      <c r="D311" t="s">
        <v>125</v>
      </c>
      <c r="E311" t="s">
        <v>22</v>
      </c>
      <c r="F311" t="s">
        <v>23</v>
      </c>
      <c r="G311">
        <v>274</v>
      </c>
      <c r="H311">
        <v>5</v>
      </c>
      <c r="I311">
        <v>23</v>
      </c>
      <c r="J311">
        <v>256</v>
      </c>
      <c r="K311" s="3">
        <v>164.92</v>
      </c>
      <c r="L311" s="3">
        <v>42219.519999999997</v>
      </c>
      <c r="M311" t="s">
        <v>24</v>
      </c>
    </row>
    <row r="312" spans="1:13">
      <c r="A312" t="s">
        <v>379</v>
      </c>
      <c r="B312" s="2">
        <v>46146</v>
      </c>
      <c r="C312" t="s">
        <v>55</v>
      </c>
      <c r="D312" t="s">
        <v>56</v>
      </c>
      <c r="E312" t="s">
        <v>28</v>
      </c>
      <c r="F312" t="s">
        <v>29</v>
      </c>
      <c r="G312">
        <v>130</v>
      </c>
      <c r="H312">
        <v>149</v>
      </c>
      <c r="I312">
        <v>90</v>
      </c>
      <c r="J312">
        <v>189</v>
      </c>
      <c r="K312" s="3">
        <v>169.8</v>
      </c>
      <c r="L312" s="3">
        <v>32092.2</v>
      </c>
      <c r="M312" t="s">
        <v>18</v>
      </c>
    </row>
    <row r="313" spans="1:13">
      <c r="A313" t="s">
        <v>380</v>
      </c>
      <c r="B313" s="2">
        <v>46263</v>
      </c>
      <c r="C313" t="s">
        <v>124</v>
      </c>
      <c r="D313" t="s">
        <v>125</v>
      </c>
      <c r="E313" t="s">
        <v>22</v>
      </c>
      <c r="F313" t="s">
        <v>23</v>
      </c>
      <c r="G313">
        <v>166</v>
      </c>
      <c r="H313">
        <v>137</v>
      </c>
      <c r="I313">
        <v>2</v>
      </c>
      <c r="J313">
        <v>301</v>
      </c>
      <c r="K313" s="3">
        <v>162.5</v>
      </c>
      <c r="L313" s="3">
        <v>48912.5</v>
      </c>
      <c r="M313" t="s">
        <v>18</v>
      </c>
    </row>
    <row r="314" spans="1:13">
      <c r="A314" t="s">
        <v>381</v>
      </c>
      <c r="B314" s="2">
        <v>46158</v>
      </c>
      <c r="C314" t="s">
        <v>77</v>
      </c>
      <c r="D314" t="s">
        <v>78</v>
      </c>
      <c r="E314" t="s">
        <v>16</v>
      </c>
      <c r="F314" t="s">
        <v>17</v>
      </c>
      <c r="G314">
        <v>392</v>
      </c>
      <c r="H314">
        <v>93</v>
      </c>
      <c r="I314">
        <v>195</v>
      </c>
      <c r="J314">
        <v>290</v>
      </c>
      <c r="K314" s="3">
        <v>203.8</v>
      </c>
      <c r="L314" s="3">
        <v>59102</v>
      </c>
      <c r="M314" t="s">
        <v>49</v>
      </c>
    </row>
    <row r="315" spans="1:13">
      <c r="A315" t="s">
        <v>382</v>
      </c>
      <c r="B315" s="2">
        <v>46049</v>
      </c>
      <c r="C315" t="s">
        <v>136</v>
      </c>
      <c r="D315" t="s">
        <v>137</v>
      </c>
      <c r="E315" t="s">
        <v>37</v>
      </c>
      <c r="F315" t="s">
        <v>38</v>
      </c>
      <c r="G315">
        <v>311</v>
      </c>
      <c r="H315">
        <v>143</v>
      </c>
      <c r="I315">
        <v>49</v>
      </c>
      <c r="J315">
        <v>405</v>
      </c>
      <c r="K315" s="3">
        <v>10.119999999999999</v>
      </c>
      <c r="L315" s="3">
        <v>4098.6000000000004</v>
      </c>
      <c r="M315" t="s">
        <v>18</v>
      </c>
    </row>
    <row r="316" spans="1:13">
      <c r="A316" t="s">
        <v>383</v>
      </c>
      <c r="B316" s="2">
        <v>46220</v>
      </c>
      <c r="C316" t="s">
        <v>31</v>
      </c>
      <c r="D316" t="s">
        <v>32</v>
      </c>
      <c r="E316" t="s">
        <v>28</v>
      </c>
      <c r="F316" t="s">
        <v>33</v>
      </c>
      <c r="G316">
        <v>278</v>
      </c>
      <c r="H316">
        <v>115</v>
      </c>
      <c r="I316">
        <v>195</v>
      </c>
      <c r="J316">
        <v>198</v>
      </c>
      <c r="K316" s="3">
        <v>79.81</v>
      </c>
      <c r="L316" s="3">
        <v>15802.38</v>
      </c>
      <c r="M316" t="s">
        <v>24</v>
      </c>
    </row>
    <row r="317" spans="1:13">
      <c r="A317" t="s">
        <v>384</v>
      </c>
      <c r="B317" s="2">
        <v>46083</v>
      </c>
      <c r="C317" t="s">
        <v>80</v>
      </c>
      <c r="D317" t="s">
        <v>81</v>
      </c>
      <c r="E317" t="s">
        <v>28</v>
      </c>
      <c r="F317" t="s">
        <v>33</v>
      </c>
      <c r="G317">
        <v>85</v>
      </c>
      <c r="H317">
        <v>24</v>
      </c>
      <c r="I317">
        <v>50</v>
      </c>
      <c r="J317">
        <v>59</v>
      </c>
      <c r="K317" s="3">
        <v>4.7</v>
      </c>
      <c r="L317" s="3">
        <v>277.3</v>
      </c>
      <c r="M317" t="s">
        <v>18</v>
      </c>
    </row>
    <row r="318" spans="1:13">
      <c r="A318" t="s">
        <v>385</v>
      </c>
      <c r="B318" s="2">
        <v>46210</v>
      </c>
      <c r="C318" t="s">
        <v>47</v>
      </c>
      <c r="D318" t="s">
        <v>48</v>
      </c>
      <c r="E318" t="s">
        <v>43</v>
      </c>
      <c r="F318" t="s">
        <v>44</v>
      </c>
      <c r="G318">
        <v>406</v>
      </c>
      <c r="H318">
        <v>36</v>
      </c>
      <c r="I318">
        <v>50</v>
      </c>
      <c r="J318">
        <v>392</v>
      </c>
      <c r="K318" s="3">
        <v>168.95</v>
      </c>
      <c r="L318" s="3">
        <v>66228.399999999994</v>
      </c>
      <c r="M318" t="s">
        <v>18</v>
      </c>
    </row>
    <row r="319" spans="1:13">
      <c r="A319" t="s">
        <v>386</v>
      </c>
      <c r="B319" s="2">
        <v>46043</v>
      </c>
      <c r="C319" t="s">
        <v>59</v>
      </c>
      <c r="D319" t="s">
        <v>60</v>
      </c>
      <c r="E319" t="s">
        <v>16</v>
      </c>
      <c r="F319" t="s">
        <v>17</v>
      </c>
      <c r="G319">
        <v>43</v>
      </c>
      <c r="H319">
        <v>9</v>
      </c>
      <c r="I319">
        <v>8</v>
      </c>
      <c r="J319">
        <v>44</v>
      </c>
      <c r="K319" s="3">
        <v>66.25</v>
      </c>
      <c r="L319" s="3">
        <v>2915</v>
      </c>
      <c r="M319" t="s">
        <v>18</v>
      </c>
    </row>
    <row r="320" spans="1:13">
      <c r="A320" t="s">
        <v>387</v>
      </c>
      <c r="B320" s="2">
        <v>46256</v>
      </c>
      <c r="C320" t="s">
        <v>59</v>
      </c>
      <c r="D320" t="s">
        <v>60</v>
      </c>
      <c r="E320" t="s">
        <v>16</v>
      </c>
      <c r="F320" t="s">
        <v>17</v>
      </c>
      <c r="G320">
        <v>96</v>
      </c>
      <c r="H320">
        <v>155</v>
      </c>
      <c r="I320">
        <v>131</v>
      </c>
      <c r="J320">
        <v>120</v>
      </c>
      <c r="K320" s="3">
        <v>60.37</v>
      </c>
      <c r="L320" s="3">
        <v>7244.4</v>
      </c>
      <c r="M320" t="s">
        <v>24</v>
      </c>
    </row>
    <row r="321" spans="1:13">
      <c r="A321" t="s">
        <v>388</v>
      </c>
      <c r="B321" s="2">
        <v>46106</v>
      </c>
      <c r="C321" t="s">
        <v>66</v>
      </c>
      <c r="D321" t="s">
        <v>67</v>
      </c>
      <c r="E321" t="s">
        <v>16</v>
      </c>
      <c r="F321" t="s">
        <v>68</v>
      </c>
      <c r="G321">
        <v>221</v>
      </c>
      <c r="H321">
        <v>157</v>
      </c>
      <c r="I321">
        <v>189</v>
      </c>
      <c r="J321">
        <v>189</v>
      </c>
      <c r="K321" s="3">
        <v>67.05</v>
      </c>
      <c r="L321" s="3">
        <v>12672.45</v>
      </c>
      <c r="M321" t="s">
        <v>24</v>
      </c>
    </row>
    <row r="322" spans="1:13">
      <c r="A322" t="s">
        <v>389</v>
      </c>
      <c r="B322" s="2">
        <v>46282</v>
      </c>
      <c r="C322" t="s">
        <v>66</v>
      </c>
      <c r="D322" t="s">
        <v>67</v>
      </c>
      <c r="E322" t="s">
        <v>16</v>
      </c>
      <c r="F322" t="s">
        <v>68</v>
      </c>
      <c r="G322">
        <v>444</v>
      </c>
      <c r="H322">
        <v>130</v>
      </c>
      <c r="I322">
        <v>136</v>
      </c>
      <c r="J322">
        <v>438</v>
      </c>
      <c r="K322" s="3">
        <v>63.46</v>
      </c>
      <c r="L322" s="3">
        <v>27795.48</v>
      </c>
      <c r="M322" t="s">
        <v>390</v>
      </c>
    </row>
    <row r="323" spans="1:13">
      <c r="A323" t="s">
        <v>391</v>
      </c>
      <c r="B323" s="2">
        <v>46266</v>
      </c>
      <c r="C323" t="s">
        <v>71</v>
      </c>
      <c r="D323" t="s">
        <v>72</v>
      </c>
      <c r="E323" t="s">
        <v>22</v>
      </c>
      <c r="F323" t="s">
        <v>68</v>
      </c>
      <c r="G323">
        <v>437</v>
      </c>
      <c r="H323">
        <v>4</v>
      </c>
      <c r="I323">
        <v>94</v>
      </c>
      <c r="J323">
        <v>347</v>
      </c>
      <c r="K323" s="3">
        <v>10.95</v>
      </c>
      <c r="L323" s="3">
        <v>3799.65</v>
      </c>
      <c r="M323" t="s">
        <v>49</v>
      </c>
    </row>
    <row r="324" spans="1:13">
      <c r="A324" t="s">
        <v>392</v>
      </c>
      <c r="B324" s="2">
        <v>46180</v>
      </c>
      <c r="C324" t="s">
        <v>62</v>
      </c>
      <c r="D324" t="s">
        <v>63</v>
      </c>
      <c r="E324" t="s">
        <v>37</v>
      </c>
      <c r="F324" t="s">
        <v>38</v>
      </c>
      <c r="G324">
        <v>427</v>
      </c>
      <c r="H324">
        <v>176</v>
      </c>
      <c r="I324">
        <v>161</v>
      </c>
      <c r="J324">
        <v>442</v>
      </c>
      <c r="K324" s="3">
        <v>53.68</v>
      </c>
      <c r="L324" s="3">
        <v>23726.560000000001</v>
      </c>
      <c r="M324" t="s">
        <v>18</v>
      </c>
    </row>
    <row r="325" spans="1:13">
      <c r="A325" t="s">
        <v>393</v>
      </c>
      <c r="B325" s="2">
        <v>46139</v>
      </c>
      <c r="C325" t="s">
        <v>26</v>
      </c>
      <c r="D325" t="s">
        <v>27</v>
      </c>
      <c r="E325" t="s">
        <v>28</v>
      </c>
      <c r="F325" t="s">
        <v>29</v>
      </c>
      <c r="G325">
        <v>389</v>
      </c>
      <c r="H325">
        <v>13</v>
      </c>
      <c r="I325">
        <v>149</v>
      </c>
      <c r="J325">
        <v>253</v>
      </c>
      <c r="K325" s="3">
        <v>119.5</v>
      </c>
      <c r="L325" s="3">
        <v>30233.5</v>
      </c>
      <c r="M325" t="s">
        <v>24</v>
      </c>
    </row>
    <row r="326" spans="1:13">
      <c r="A326" t="s">
        <v>394</v>
      </c>
      <c r="B326" s="2">
        <v>46217</v>
      </c>
      <c r="C326" t="s">
        <v>80</v>
      </c>
      <c r="D326" t="s">
        <v>81</v>
      </c>
      <c r="E326" t="s">
        <v>28</v>
      </c>
      <c r="F326" t="s">
        <v>33</v>
      </c>
      <c r="G326">
        <v>95</v>
      </c>
      <c r="H326">
        <v>174</v>
      </c>
      <c r="I326">
        <v>62</v>
      </c>
      <c r="J326">
        <v>207</v>
      </c>
      <c r="K326" s="3">
        <v>4.4400000000000004</v>
      </c>
      <c r="L326" s="3">
        <v>919.08</v>
      </c>
      <c r="M326" t="s">
        <v>24</v>
      </c>
    </row>
    <row r="327" spans="1:13">
      <c r="A327" t="s">
        <v>395</v>
      </c>
      <c r="B327" s="2">
        <v>46120</v>
      </c>
      <c r="C327" t="s">
        <v>20</v>
      </c>
      <c r="D327" t="s">
        <v>21</v>
      </c>
      <c r="E327" t="s">
        <v>22</v>
      </c>
      <c r="F327" t="s">
        <v>23</v>
      </c>
      <c r="G327">
        <v>29</v>
      </c>
      <c r="H327">
        <v>112</v>
      </c>
      <c r="I327">
        <v>80</v>
      </c>
      <c r="J327">
        <v>61</v>
      </c>
      <c r="K327" s="3">
        <v>63.99</v>
      </c>
      <c r="L327" s="3">
        <v>3903.39</v>
      </c>
      <c r="M327" t="s">
        <v>18</v>
      </c>
    </row>
    <row r="328" spans="1:13">
      <c r="A328" t="s">
        <v>396</v>
      </c>
      <c r="B328" s="2">
        <v>46233</v>
      </c>
      <c r="C328" t="s">
        <v>99</v>
      </c>
      <c r="D328" t="s">
        <v>100</v>
      </c>
      <c r="E328" t="s">
        <v>43</v>
      </c>
      <c r="F328" t="s">
        <v>44</v>
      </c>
      <c r="G328">
        <v>276</v>
      </c>
      <c r="H328">
        <v>156</v>
      </c>
      <c r="I328">
        <v>120</v>
      </c>
      <c r="J328">
        <v>312</v>
      </c>
      <c r="K328" s="3">
        <v>265.05</v>
      </c>
      <c r="L328" s="3">
        <v>82695.600000000006</v>
      </c>
      <c r="M328" t="s">
        <v>24</v>
      </c>
    </row>
    <row r="329" spans="1:13">
      <c r="A329" t="s">
        <v>397</v>
      </c>
      <c r="B329" s="2">
        <v>46093</v>
      </c>
      <c r="C329" t="s">
        <v>86</v>
      </c>
      <c r="D329" t="s">
        <v>87</v>
      </c>
      <c r="E329" t="s">
        <v>43</v>
      </c>
      <c r="F329" t="s">
        <v>44</v>
      </c>
      <c r="G329">
        <v>285</v>
      </c>
      <c r="H329">
        <v>53</v>
      </c>
      <c r="I329">
        <v>143</v>
      </c>
      <c r="J329">
        <v>195</v>
      </c>
      <c r="K329" s="3">
        <v>9.65</v>
      </c>
      <c r="L329" s="3">
        <v>1881.75</v>
      </c>
      <c r="M329" t="s">
        <v>24</v>
      </c>
    </row>
    <row r="330" spans="1:13">
      <c r="A330" t="s">
        <v>398</v>
      </c>
      <c r="B330" s="2">
        <v>46292</v>
      </c>
      <c r="C330" t="s">
        <v>124</v>
      </c>
      <c r="D330" t="s">
        <v>125</v>
      </c>
      <c r="E330" t="s">
        <v>22</v>
      </c>
      <c r="F330" t="s">
        <v>23</v>
      </c>
      <c r="G330">
        <v>212</v>
      </c>
      <c r="H330">
        <v>80</v>
      </c>
      <c r="I330">
        <v>44</v>
      </c>
      <c r="J330">
        <v>248</v>
      </c>
      <c r="K330" s="3">
        <v>152.96</v>
      </c>
      <c r="L330" s="3">
        <v>37934.080000000002</v>
      </c>
      <c r="M330" t="s">
        <v>24</v>
      </c>
    </row>
    <row r="331" spans="1:13">
      <c r="A331" t="s">
        <v>399</v>
      </c>
      <c r="B331" s="2">
        <v>46204</v>
      </c>
      <c r="C331" t="s">
        <v>66</v>
      </c>
      <c r="D331" t="s">
        <v>67</v>
      </c>
      <c r="E331" t="s">
        <v>16</v>
      </c>
      <c r="F331" t="s">
        <v>68</v>
      </c>
      <c r="G331">
        <v>366</v>
      </c>
      <c r="H331">
        <v>174</v>
      </c>
      <c r="I331">
        <v>164</v>
      </c>
      <c r="J331">
        <v>376</v>
      </c>
      <c r="K331" s="3">
        <v>66.650000000000006</v>
      </c>
      <c r="L331" s="3">
        <v>25060.400000000001</v>
      </c>
      <c r="M331" t="s">
        <v>18</v>
      </c>
    </row>
    <row r="332" spans="1:13">
      <c r="A332" t="s">
        <v>400</v>
      </c>
      <c r="B332" s="2">
        <v>46270</v>
      </c>
      <c r="C332" t="s">
        <v>80</v>
      </c>
      <c r="D332" t="s">
        <v>81</v>
      </c>
      <c r="E332" t="s">
        <v>28</v>
      </c>
      <c r="F332" t="s">
        <v>33</v>
      </c>
      <c r="G332">
        <v>118</v>
      </c>
      <c r="H332">
        <v>63</v>
      </c>
      <c r="I332">
        <v>71</v>
      </c>
      <c r="J332">
        <v>110</v>
      </c>
      <c r="K332" s="3">
        <v>4.84</v>
      </c>
      <c r="L332" s="3">
        <v>532.4</v>
      </c>
      <c r="M332" t="s">
        <v>49</v>
      </c>
    </row>
    <row r="333" spans="1:13">
      <c r="A333" t="s">
        <v>401</v>
      </c>
      <c r="B333" s="2">
        <v>46170</v>
      </c>
      <c r="C333" t="s">
        <v>71</v>
      </c>
      <c r="D333" t="s">
        <v>72</v>
      </c>
      <c r="E333" t="s">
        <v>22</v>
      </c>
      <c r="F333" t="s">
        <v>68</v>
      </c>
      <c r="G333">
        <v>380</v>
      </c>
      <c r="H333">
        <v>53</v>
      </c>
      <c r="I333">
        <v>176</v>
      </c>
      <c r="J333">
        <v>257</v>
      </c>
      <c r="K333" s="3">
        <v>11.62</v>
      </c>
      <c r="L333" s="3">
        <v>2986.34</v>
      </c>
      <c r="M333" t="s">
        <v>18</v>
      </c>
    </row>
    <row r="334" spans="1:13">
      <c r="A334" t="s">
        <v>402</v>
      </c>
      <c r="B334" s="2">
        <v>46201</v>
      </c>
      <c r="C334" t="s">
        <v>124</v>
      </c>
      <c r="D334" t="s">
        <v>125</v>
      </c>
      <c r="E334" t="s">
        <v>22</v>
      </c>
      <c r="F334" t="s">
        <v>23</v>
      </c>
      <c r="G334">
        <v>306</v>
      </c>
      <c r="H334">
        <v>70</v>
      </c>
      <c r="I334">
        <v>73</v>
      </c>
      <c r="J334">
        <v>303</v>
      </c>
      <c r="K334" s="3">
        <v>144.63</v>
      </c>
      <c r="L334" s="3">
        <v>43822.89</v>
      </c>
      <c r="M334" t="s">
        <v>24</v>
      </c>
    </row>
    <row r="335" spans="1:13">
      <c r="A335" t="s">
        <v>403</v>
      </c>
      <c r="B335" s="2">
        <v>46217</v>
      </c>
      <c r="C335" t="s">
        <v>47</v>
      </c>
      <c r="D335" t="s">
        <v>48</v>
      </c>
      <c r="E335" t="s">
        <v>43</v>
      </c>
      <c r="F335" t="s">
        <v>44</v>
      </c>
      <c r="G335">
        <v>478</v>
      </c>
      <c r="H335">
        <v>101</v>
      </c>
      <c r="I335">
        <v>209</v>
      </c>
      <c r="J335">
        <v>370</v>
      </c>
      <c r="K335" s="3">
        <v>162.11000000000001</v>
      </c>
      <c r="L335" s="3">
        <v>59980.7</v>
      </c>
      <c r="M335" t="s">
        <v>49</v>
      </c>
    </row>
    <row r="336" spans="1:13">
      <c r="A336" t="s">
        <v>404</v>
      </c>
      <c r="B336" s="2">
        <v>46044</v>
      </c>
      <c r="C336" t="s">
        <v>71</v>
      </c>
      <c r="D336" t="s">
        <v>72</v>
      </c>
      <c r="E336" t="s">
        <v>22</v>
      </c>
      <c r="F336" t="s">
        <v>68</v>
      </c>
      <c r="G336">
        <v>167</v>
      </c>
      <c r="H336">
        <v>20</v>
      </c>
      <c r="I336">
        <v>88</v>
      </c>
      <c r="J336">
        <v>99</v>
      </c>
      <c r="K336" s="3">
        <v>12.02</v>
      </c>
      <c r="L336" s="3">
        <v>1189.98</v>
      </c>
      <c r="M336" t="s">
        <v>24</v>
      </c>
    </row>
    <row r="337" spans="1:13">
      <c r="A337" t="s">
        <v>405</v>
      </c>
      <c r="B337" s="2">
        <v>46268</v>
      </c>
      <c r="C337" t="s">
        <v>26</v>
      </c>
      <c r="D337" t="s">
        <v>27</v>
      </c>
      <c r="E337" t="s">
        <v>28</v>
      </c>
      <c r="F337" t="s">
        <v>29</v>
      </c>
      <c r="G337">
        <v>129</v>
      </c>
      <c r="H337">
        <v>51</v>
      </c>
      <c r="I337">
        <v>137</v>
      </c>
      <c r="J337">
        <v>43</v>
      </c>
      <c r="K337" s="3">
        <v>115.48</v>
      </c>
      <c r="L337" s="3">
        <v>4965.6400000000003</v>
      </c>
      <c r="M337" t="s">
        <v>24</v>
      </c>
    </row>
    <row r="338" spans="1:13">
      <c r="A338" t="s">
        <v>406</v>
      </c>
      <c r="B338" s="2">
        <v>46093</v>
      </c>
      <c r="C338" t="s">
        <v>26</v>
      </c>
      <c r="D338" t="s">
        <v>27</v>
      </c>
      <c r="E338" t="s">
        <v>28</v>
      </c>
      <c r="F338" t="s">
        <v>29</v>
      </c>
      <c r="G338">
        <v>75</v>
      </c>
      <c r="H338">
        <v>157</v>
      </c>
      <c r="I338">
        <v>189</v>
      </c>
      <c r="J338">
        <v>43</v>
      </c>
      <c r="K338" s="3">
        <v>121.54</v>
      </c>
      <c r="L338" s="3">
        <v>5226.22</v>
      </c>
      <c r="M338" t="s">
        <v>49</v>
      </c>
    </row>
    <row r="339" spans="1:13">
      <c r="A339" t="s">
        <v>407</v>
      </c>
      <c r="B339" s="2">
        <v>46294</v>
      </c>
      <c r="C339" t="s">
        <v>86</v>
      </c>
      <c r="D339" t="s">
        <v>87</v>
      </c>
      <c r="E339" t="s">
        <v>43</v>
      </c>
      <c r="F339" t="s">
        <v>44</v>
      </c>
      <c r="G339">
        <v>135</v>
      </c>
      <c r="H339">
        <v>163</v>
      </c>
      <c r="I339">
        <v>59</v>
      </c>
      <c r="J339">
        <v>239</v>
      </c>
      <c r="K339" s="3">
        <v>9.2200000000000006</v>
      </c>
      <c r="L339" s="3">
        <v>2203.58</v>
      </c>
      <c r="M339" t="s">
        <v>18</v>
      </c>
    </row>
    <row r="340" spans="1:13">
      <c r="A340" t="s">
        <v>408</v>
      </c>
      <c r="B340" s="2">
        <v>46264</v>
      </c>
      <c r="C340" t="s">
        <v>66</v>
      </c>
      <c r="D340" t="s">
        <v>67</v>
      </c>
      <c r="E340" t="s">
        <v>16</v>
      </c>
      <c r="F340" t="s">
        <v>68</v>
      </c>
      <c r="G340">
        <v>71</v>
      </c>
      <c r="H340">
        <v>174</v>
      </c>
      <c r="I340">
        <v>197</v>
      </c>
      <c r="J340">
        <v>48</v>
      </c>
      <c r="K340" s="3">
        <v>59.88</v>
      </c>
      <c r="L340" s="3">
        <v>2874.24</v>
      </c>
      <c r="M340" t="s">
        <v>24</v>
      </c>
    </row>
    <row r="341" spans="1:13">
      <c r="A341" t="s">
        <v>409</v>
      </c>
      <c r="B341" s="2">
        <v>46231</v>
      </c>
      <c r="C341" t="s">
        <v>14</v>
      </c>
      <c r="D341" t="s">
        <v>15</v>
      </c>
      <c r="E341" t="s">
        <v>16</v>
      </c>
      <c r="F341" t="s">
        <v>17</v>
      </c>
      <c r="G341">
        <v>354</v>
      </c>
      <c r="H341">
        <v>121</v>
      </c>
      <c r="I341">
        <v>122</v>
      </c>
      <c r="J341">
        <v>353</v>
      </c>
      <c r="K341" s="3">
        <v>195.03</v>
      </c>
      <c r="L341" s="3">
        <v>68845.59</v>
      </c>
      <c r="M341" t="s">
        <v>18</v>
      </c>
    </row>
    <row r="342" spans="1:13">
      <c r="A342" t="s">
        <v>410</v>
      </c>
      <c r="B342" s="2">
        <v>46169</v>
      </c>
      <c r="C342" t="s">
        <v>66</v>
      </c>
      <c r="D342" t="s">
        <v>67</v>
      </c>
      <c r="E342" t="s">
        <v>16</v>
      </c>
      <c r="F342" t="s">
        <v>68</v>
      </c>
      <c r="G342">
        <v>350</v>
      </c>
      <c r="H342">
        <v>15</v>
      </c>
      <c r="I342">
        <v>196</v>
      </c>
      <c r="J342">
        <v>169</v>
      </c>
      <c r="K342" s="3">
        <v>59.39</v>
      </c>
      <c r="L342" s="3">
        <v>10036.91</v>
      </c>
      <c r="M342" t="s">
        <v>24</v>
      </c>
    </row>
    <row r="343" spans="1:13">
      <c r="A343" t="s">
        <v>411</v>
      </c>
      <c r="B343" s="2">
        <v>46042</v>
      </c>
      <c r="C343" t="s">
        <v>51</v>
      </c>
      <c r="D343" t="s">
        <v>52</v>
      </c>
      <c r="E343" t="s">
        <v>28</v>
      </c>
      <c r="F343" t="s">
        <v>33</v>
      </c>
      <c r="G343">
        <v>487</v>
      </c>
      <c r="H343">
        <v>44</v>
      </c>
      <c r="I343">
        <v>106</v>
      </c>
      <c r="J343">
        <v>425</v>
      </c>
      <c r="K343" s="3">
        <v>28.74</v>
      </c>
      <c r="L343" s="3">
        <v>12214.5</v>
      </c>
      <c r="M343" t="s">
        <v>49</v>
      </c>
    </row>
    <row r="344" spans="1:13">
      <c r="A344" t="s">
        <v>412</v>
      </c>
      <c r="B344" s="2">
        <v>46226</v>
      </c>
      <c r="C344" t="s">
        <v>86</v>
      </c>
      <c r="D344" t="s">
        <v>87</v>
      </c>
      <c r="E344" t="s">
        <v>43</v>
      </c>
      <c r="F344" t="s">
        <v>44</v>
      </c>
      <c r="G344">
        <v>423</v>
      </c>
      <c r="H344">
        <v>126</v>
      </c>
      <c r="I344">
        <v>47</v>
      </c>
      <c r="J344">
        <v>502</v>
      </c>
      <c r="K344" s="3">
        <v>10.62</v>
      </c>
      <c r="L344" s="3">
        <v>5331.24</v>
      </c>
      <c r="M344" t="s">
        <v>18</v>
      </c>
    </row>
    <row r="345" spans="1:13">
      <c r="A345" t="s">
        <v>413</v>
      </c>
      <c r="B345" s="2">
        <v>46027</v>
      </c>
      <c r="C345" t="s">
        <v>86</v>
      </c>
      <c r="D345" t="s">
        <v>87</v>
      </c>
      <c r="E345" t="s">
        <v>43</v>
      </c>
      <c r="F345" t="s">
        <v>44</v>
      </c>
      <c r="G345">
        <v>172</v>
      </c>
      <c r="H345">
        <v>145</v>
      </c>
      <c r="I345">
        <v>154</v>
      </c>
      <c r="J345">
        <v>163</v>
      </c>
      <c r="K345" s="3">
        <v>9.3000000000000007</v>
      </c>
      <c r="L345" s="3">
        <v>1515.9</v>
      </c>
      <c r="M345" t="s">
        <v>18</v>
      </c>
    </row>
    <row r="346" spans="1:13">
      <c r="A346" t="s">
        <v>414</v>
      </c>
      <c r="B346" s="2">
        <v>46255</v>
      </c>
      <c r="C346" t="s">
        <v>71</v>
      </c>
      <c r="D346" t="s">
        <v>72</v>
      </c>
      <c r="E346" t="s">
        <v>22</v>
      </c>
      <c r="F346" t="s">
        <v>68</v>
      </c>
      <c r="G346">
        <v>348</v>
      </c>
      <c r="H346">
        <v>139</v>
      </c>
      <c r="I346">
        <v>134</v>
      </c>
      <c r="J346">
        <v>353</v>
      </c>
      <c r="K346" s="3">
        <v>11.24</v>
      </c>
      <c r="L346" s="3">
        <v>3967.72</v>
      </c>
      <c r="M346" t="s">
        <v>49</v>
      </c>
    </row>
    <row r="347" spans="1:13">
      <c r="A347" t="s">
        <v>415</v>
      </c>
      <c r="B347" s="2">
        <v>46262</v>
      </c>
      <c r="C347" t="s">
        <v>59</v>
      </c>
      <c r="D347" t="s">
        <v>60</v>
      </c>
      <c r="E347" t="s">
        <v>16</v>
      </c>
      <c r="F347" t="s">
        <v>17</v>
      </c>
      <c r="G347">
        <v>159</v>
      </c>
      <c r="H347">
        <v>49</v>
      </c>
      <c r="I347">
        <v>207</v>
      </c>
      <c r="J347">
        <v>1</v>
      </c>
      <c r="K347" s="3">
        <v>60.09</v>
      </c>
      <c r="L347" s="3">
        <v>60.09</v>
      </c>
      <c r="M347" t="s">
        <v>49</v>
      </c>
    </row>
    <row r="348" spans="1:13">
      <c r="A348" t="s">
        <v>416</v>
      </c>
      <c r="B348" s="2">
        <v>46154</v>
      </c>
      <c r="C348" t="s">
        <v>55</v>
      </c>
      <c r="D348" t="s">
        <v>56</v>
      </c>
      <c r="E348" t="s">
        <v>28</v>
      </c>
      <c r="F348" t="s">
        <v>29</v>
      </c>
      <c r="G348">
        <v>387</v>
      </c>
      <c r="H348">
        <v>47</v>
      </c>
      <c r="I348">
        <v>3</v>
      </c>
      <c r="J348">
        <v>431</v>
      </c>
      <c r="K348" s="3">
        <v>189.95</v>
      </c>
      <c r="L348" s="3">
        <v>81868.45</v>
      </c>
      <c r="M348" t="s">
        <v>18</v>
      </c>
    </row>
    <row r="349" spans="1:13">
      <c r="A349" t="s">
        <v>417</v>
      </c>
      <c r="B349" s="2">
        <v>46121</v>
      </c>
      <c r="C349" t="s">
        <v>35</v>
      </c>
      <c r="D349" t="s">
        <v>36</v>
      </c>
      <c r="E349" t="s">
        <v>37</v>
      </c>
      <c r="F349" t="s">
        <v>38</v>
      </c>
      <c r="G349">
        <v>109</v>
      </c>
      <c r="H349">
        <v>156</v>
      </c>
      <c r="I349">
        <v>219</v>
      </c>
      <c r="J349">
        <v>46</v>
      </c>
      <c r="K349" s="3">
        <v>232.26</v>
      </c>
      <c r="L349" s="3">
        <v>10683.96</v>
      </c>
      <c r="M349" t="s">
        <v>18</v>
      </c>
    </row>
    <row r="350" spans="1:13">
      <c r="A350" t="s">
        <v>418</v>
      </c>
      <c r="B350" s="2">
        <v>46286</v>
      </c>
      <c r="C350" t="s">
        <v>62</v>
      </c>
      <c r="D350" t="s">
        <v>63</v>
      </c>
      <c r="E350" t="s">
        <v>37</v>
      </c>
      <c r="F350" t="s">
        <v>38</v>
      </c>
      <c r="G350">
        <v>187</v>
      </c>
      <c r="H350">
        <v>22</v>
      </c>
      <c r="I350">
        <v>102</v>
      </c>
      <c r="J350">
        <v>107</v>
      </c>
      <c r="K350" s="3">
        <v>59.65</v>
      </c>
      <c r="L350" s="3">
        <v>6382.55</v>
      </c>
      <c r="M350" t="s">
        <v>49</v>
      </c>
    </row>
    <row r="351" spans="1:13">
      <c r="A351" t="s">
        <v>419</v>
      </c>
      <c r="B351" s="2">
        <v>46267</v>
      </c>
      <c r="C351" t="s">
        <v>77</v>
      </c>
      <c r="D351" t="s">
        <v>78</v>
      </c>
      <c r="E351" t="s">
        <v>16</v>
      </c>
      <c r="F351" t="s">
        <v>17</v>
      </c>
      <c r="G351">
        <v>185</v>
      </c>
      <c r="H351">
        <v>63</v>
      </c>
      <c r="I351">
        <v>1</v>
      </c>
      <c r="J351">
        <v>247</v>
      </c>
      <c r="K351" s="3">
        <v>199.08</v>
      </c>
      <c r="L351" s="3">
        <v>49172.76</v>
      </c>
      <c r="M351" t="s">
        <v>49</v>
      </c>
    </row>
    <row r="352" spans="1:13">
      <c r="A352" t="s">
        <v>420</v>
      </c>
      <c r="B352" s="2">
        <v>46159</v>
      </c>
      <c r="C352" t="s">
        <v>55</v>
      </c>
      <c r="D352" t="s">
        <v>56</v>
      </c>
      <c r="E352" t="s">
        <v>28</v>
      </c>
      <c r="F352" t="s">
        <v>29</v>
      </c>
      <c r="G352">
        <v>188</v>
      </c>
      <c r="H352">
        <v>77</v>
      </c>
      <c r="I352">
        <v>149</v>
      </c>
      <c r="J352">
        <v>116</v>
      </c>
      <c r="K352" s="3">
        <v>189.54</v>
      </c>
      <c r="L352" s="3">
        <v>21986.639999999999</v>
      </c>
      <c r="M352" t="s">
        <v>49</v>
      </c>
    </row>
    <row r="353" spans="1:13">
      <c r="A353" t="s">
        <v>421</v>
      </c>
      <c r="B353" s="2">
        <v>46207</v>
      </c>
      <c r="C353" t="s">
        <v>26</v>
      </c>
      <c r="D353" t="s">
        <v>27</v>
      </c>
      <c r="E353" t="s">
        <v>28</v>
      </c>
      <c r="F353" t="s">
        <v>29</v>
      </c>
      <c r="G353">
        <v>374</v>
      </c>
      <c r="H353">
        <v>60</v>
      </c>
      <c r="I353">
        <v>15</v>
      </c>
      <c r="J353">
        <v>419</v>
      </c>
      <c r="K353" s="3">
        <v>123.09</v>
      </c>
      <c r="L353" s="3">
        <v>51574.71</v>
      </c>
      <c r="M353" t="s">
        <v>18</v>
      </c>
    </row>
    <row r="354" spans="1:13">
      <c r="A354" t="s">
        <v>422</v>
      </c>
      <c r="B354" s="2">
        <v>46104</v>
      </c>
      <c r="C354" t="s">
        <v>71</v>
      </c>
      <c r="D354" t="s">
        <v>72</v>
      </c>
      <c r="E354" t="s">
        <v>22</v>
      </c>
      <c r="F354" t="s">
        <v>68</v>
      </c>
      <c r="G354">
        <v>227</v>
      </c>
      <c r="H354">
        <v>175</v>
      </c>
      <c r="I354">
        <v>128</v>
      </c>
      <c r="J354">
        <v>274</v>
      </c>
      <c r="K354" s="3">
        <v>12.02</v>
      </c>
      <c r="L354" s="3">
        <v>3293.48</v>
      </c>
      <c r="M354" t="s">
        <v>24</v>
      </c>
    </row>
    <row r="355" spans="1:13">
      <c r="A355" t="s">
        <v>423</v>
      </c>
      <c r="B355" s="2">
        <v>46083</v>
      </c>
      <c r="C355" t="s">
        <v>71</v>
      </c>
      <c r="D355" t="s">
        <v>72</v>
      </c>
      <c r="E355" t="s">
        <v>22</v>
      </c>
      <c r="F355" t="s">
        <v>68</v>
      </c>
      <c r="G355">
        <v>347</v>
      </c>
      <c r="H355">
        <v>75</v>
      </c>
      <c r="I355">
        <v>94</v>
      </c>
      <c r="J355">
        <v>328</v>
      </c>
      <c r="K355" s="3">
        <v>11.46</v>
      </c>
      <c r="L355" s="3">
        <v>3758.88</v>
      </c>
      <c r="M355" t="s">
        <v>49</v>
      </c>
    </row>
    <row r="356" spans="1:13">
      <c r="A356" t="s">
        <v>424</v>
      </c>
      <c r="B356" s="2">
        <v>46267</v>
      </c>
      <c r="C356" t="s">
        <v>77</v>
      </c>
      <c r="D356" t="s">
        <v>78</v>
      </c>
      <c r="E356" t="s">
        <v>16</v>
      </c>
      <c r="F356" t="s">
        <v>17</v>
      </c>
      <c r="G356">
        <v>98</v>
      </c>
      <c r="H356">
        <v>116</v>
      </c>
      <c r="I356">
        <v>191</v>
      </c>
      <c r="J356">
        <v>23</v>
      </c>
      <c r="K356" s="3">
        <v>223.19</v>
      </c>
      <c r="L356" s="3">
        <v>5133.37</v>
      </c>
      <c r="M356" t="s">
        <v>18</v>
      </c>
    </row>
    <row r="357" spans="1:13">
      <c r="A357" t="s">
        <v>425</v>
      </c>
      <c r="B357" s="2">
        <v>46264</v>
      </c>
      <c r="C357" t="s">
        <v>62</v>
      </c>
      <c r="D357" t="s">
        <v>63</v>
      </c>
      <c r="E357" t="s">
        <v>37</v>
      </c>
      <c r="F357" t="s">
        <v>38</v>
      </c>
      <c r="G357">
        <v>407</v>
      </c>
      <c r="H357">
        <v>137</v>
      </c>
      <c r="I357">
        <v>205</v>
      </c>
      <c r="J357">
        <v>339</v>
      </c>
      <c r="K357" s="3">
        <v>59.6</v>
      </c>
      <c r="L357" s="3">
        <v>20204.400000000001</v>
      </c>
      <c r="M357" t="s">
        <v>49</v>
      </c>
    </row>
    <row r="358" spans="1:13">
      <c r="A358" t="s">
        <v>426</v>
      </c>
      <c r="B358" s="2">
        <v>46064</v>
      </c>
      <c r="C358" t="s">
        <v>51</v>
      </c>
      <c r="D358" t="s">
        <v>52</v>
      </c>
      <c r="E358" t="s">
        <v>28</v>
      </c>
      <c r="F358" t="s">
        <v>33</v>
      </c>
      <c r="G358">
        <v>289</v>
      </c>
      <c r="H358">
        <v>114</v>
      </c>
      <c r="I358">
        <v>135</v>
      </c>
      <c r="J358">
        <v>268</v>
      </c>
      <c r="K358" s="3">
        <v>27.97</v>
      </c>
      <c r="L358" s="3">
        <v>7495.96</v>
      </c>
      <c r="M358" t="s">
        <v>49</v>
      </c>
    </row>
    <row r="359" spans="1:13">
      <c r="A359" t="s">
        <v>427</v>
      </c>
      <c r="B359" s="2">
        <v>46080</v>
      </c>
      <c r="C359" t="s">
        <v>35</v>
      </c>
      <c r="D359" t="s">
        <v>36</v>
      </c>
      <c r="E359" t="s">
        <v>37</v>
      </c>
      <c r="F359" t="s">
        <v>38</v>
      </c>
      <c r="G359">
        <v>51</v>
      </c>
      <c r="H359">
        <v>140</v>
      </c>
      <c r="I359">
        <v>129</v>
      </c>
      <c r="J359">
        <v>62</v>
      </c>
      <c r="K359" s="3">
        <v>216.38</v>
      </c>
      <c r="L359" s="3">
        <v>13415.56</v>
      </c>
      <c r="M359" t="s">
        <v>24</v>
      </c>
    </row>
    <row r="360" spans="1:13">
      <c r="A360" t="s">
        <v>428</v>
      </c>
      <c r="B360" s="2">
        <v>46107</v>
      </c>
      <c r="C360" t="s">
        <v>77</v>
      </c>
      <c r="D360" t="s">
        <v>78</v>
      </c>
      <c r="E360" t="s">
        <v>16</v>
      </c>
      <c r="F360" t="s">
        <v>17</v>
      </c>
      <c r="G360">
        <v>187</v>
      </c>
      <c r="H360">
        <v>133</v>
      </c>
      <c r="I360">
        <v>113</v>
      </c>
      <c r="J360">
        <v>207</v>
      </c>
      <c r="K360" s="3">
        <v>194.29</v>
      </c>
      <c r="L360" s="3">
        <v>40218.03</v>
      </c>
      <c r="M360" t="s">
        <v>49</v>
      </c>
    </row>
    <row r="361" spans="1:13">
      <c r="A361" t="s">
        <v>429</v>
      </c>
      <c r="B361" s="2">
        <v>46273</v>
      </c>
      <c r="C361" t="s">
        <v>35</v>
      </c>
      <c r="D361" t="s">
        <v>36</v>
      </c>
      <c r="E361" t="s">
        <v>37</v>
      </c>
      <c r="F361" t="s">
        <v>38</v>
      </c>
      <c r="G361">
        <v>66</v>
      </c>
      <c r="H361">
        <v>130</v>
      </c>
      <c r="I361">
        <v>114</v>
      </c>
      <c r="J361">
        <v>82</v>
      </c>
      <c r="K361" s="3">
        <v>238.43</v>
      </c>
      <c r="L361" s="3">
        <v>19551.259999999998</v>
      </c>
      <c r="M361" t="s">
        <v>18</v>
      </c>
    </row>
    <row r="362" spans="1:13">
      <c r="A362" t="s">
        <v>430</v>
      </c>
      <c r="B362" s="2">
        <v>46285</v>
      </c>
      <c r="C362" t="s">
        <v>77</v>
      </c>
      <c r="D362" t="s">
        <v>78</v>
      </c>
      <c r="E362" t="s">
        <v>16</v>
      </c>
      <c r="F362" t="s">
        <v>17</v>
      </c>
      <c r="G362">
        <v>232</v>
      </c>
      <c r="H362">
        <v>116</v>
      </c>
      <c r="I362">
        <v>144</v>
      </c>
      <c r="J362">
        <v>204</v>
      </c>
      <c r="K362" s="3">
        <v>192.35</v>
      </c>
      <c r="L362" s="3">
        <v>39239.4</v>
      </c>
      <c r="M362" t="s">
        <v>18</v>
      </c>
    </row>
    <row r="363" spans="1:13">
      <c r="A363" t="s">
        <v>431</v>
      </c>
      <c r="B363" s="2">
        <v>46034</v>
      </c>
      <c r="C363" t="s">
        <v>71</v>
      </c>
      <c r="D363" t="s">
        <v>72</v>
      </c>
      <c r="E363" t="s">
        <v>22</v>
      </c>
      <c r="F363" t="s">
        <v>68</v>
      </c>
      <c r="G363">
        <v>222</v>
      </c>
      <c r="H363">
        <v>65</v>
      </c>
      <c r="I363">
        <v>209</v>
      </c>
      <c r="J363">
        <v>78</v>
      </c>
      <c r="K363" s="3">
        <v>10.36</v>
      </c>
      <c r="L363" s="3">
        <v>808.08</v>
      </c>
      <c r="M363" t="s">
        <v>49</v>
      </c>
    </row>
    <row r="364" spans="1:13">
      <c r="A364" t="s">
        <v>432</v>
      </c>
      <c r="B364" s="2">
        <v>46060</v>
      </c>
      <c r="C364" t="s">
        <v>35</v>
      </c>
      <c r="D364" t="s">
        <v>36</v>
      </c>
      <c r="E364" t="s">
        <v>37</v>
      </c>
      <c r="F364" t="s">
        <v>38</v>
      </c>
      <c r="G364">
        <v>43</v>
      </c>
      <c r="H364">
        <v>108</v>
      </c>
      <c r="I364">
        <v>88</v>
      </c>
      <c r="J364">
        <v>63</v>
      </c>
      <c r="K364" s="3">
        <v>234.5</v>
      </c>
      <c r="L364" s="3">
        <v>14773.5</v>
      </c>
      <c r="M364" t="s">
        <v>24</v>
      </c>
    </row>
    <row r="365" spans="1:13">
      <c r="A365" t="s">
        <v>433</v>
      </c>
      <c r="B365" s="2">
        <v>46058</v>
      </c>
      <c r="C365" t="s">
        <v>86</v>
      </c>
      <c r="D365" t="s">
        <v>87</v>
      </c>
      <c r="E365" t="s">
        <v>43</v>
      </c>
      <c r="F365" t="s">
        <v>44</v>
      </c>
      <c r="G365">
        <v>498</v>
      </c>
      <c r="H365">
        <v>120</v>
      </c>
      <c r="I365">
        <v>8</v>
      </c>
      <c r="J365">
        <v>610</v>
      </c>
      <c r="K365" s="3">
        <v>9.59</v>
      </c>
      <c r="L365" s="3">
        <v>5849.9</v>
      </c>
      <c r="M365" t="s">
        <v>49</v>
      </c>
    </row>
    <row r="366" spans="1:13">
      <c r="A366" t="s">
        <v>434</v>
      </c>
      <c r="B366" s="2">
        <v>46238</v>
      </c>
      <c r="C366" t="s">
        <v>77</v>
      </c>
      <c r="D366" t="s">
        <v>78</v>
      </c>
      <c r="E366" t="s">
        <v>16</v>
      </c>
      <c r="F366" t="s">
        <v>17</v>
      </c>
      <c r="G366">
        <v>211</v>
      </c>
      <c r="H366">
        <v>97</v>
      </c>
      <c r="I366">
        <v>114</v>
      </c>
      <c r="J366">
        <v>194</v>
      </c>
      <c r="K366" s="3">
        <v>219.24</v>
      </c>
      <c r="L366" s="3">
        <v>42532.56</v>
      </c>
      <c r="M366" t="s">
        <v>18</v>
      </c>
    </row>
    <row r="367" spans="1:13">
      <c r="A367" t="s">
        <v>435</v>
      </c>
      <c r="B367" s="2">
        <v>46064</v>
      </c>
      <c r="C367" t="s">
        <v>136</v>
      </c>
      <c r="D367" t="s">
        <v>137</v>
      </c>
      <c r="E367" t="s">
        <v>37</v>
      </c>
      <c r="F367" t="s">
        <v>38</v>
      </c>
      <c r="G367">
        <v>369</v>
      </c>
      <c r="H367">
        <v>169</v>
      </c>
      <c r="I367">
        <v>138</v>
      </c>
      <c r="J367">
        <v>400</v>
      </c>
      <c r="K367" s="3">
        <v>9.74</v>
      </c>
      <c r="L367" s="3">
        <v>3896</v>
      </c>
      <c r="M367" t="s">
        <v>18</v>
      </c>
    </row>
    <row r="368" spans="1:13">
      <c r="A368" t="s">
        <v>436</v>
      </c>
      <c r="B368" s="2">
        <v>46114</v>
      </c>
      <c r="C368" t="s">
        <v>20</v>
      </c>
      <c r="D368" t="s">
        <v>21</v>
      </c>
      <c r="E368" t="s">
        <v>22</v>
      </c>
      <c r="F368" t="s">
        <v>23</v>
      </c>
      <c r="G368">
        <v>295</v>
      </c>
      <c r="H368">
        <v>100</v>
      </c>
      <c r="I368">
        <v>135</v>
      </c>
      <c r="J368">
        <v>260</v>
      </c>
      <c r="K368" s="3">
        <v>60.96</v>
      </c>
      <c r="L368" s="3">
        <v>15849.6</v>
      </c>
      <c r="M368" t="s">
        <v>49</v>
      </c>
    </row>
    <row r="369" spans="1:13">
      <c r="A369" t="s">
        <v>437</v>
      </c>
      <c r="B369" s="2">
        <v>46034</v>
      </c>
      <c r="C369" t="s">
        <v>116</v>
      </c>
      <c r="D369" t="s">
        <v>117</v>
      </c>
      <c r="E369" t="s">
        <v>22</v>
      </c>
      <c r="F369" t="s">
        <v>23</v>
      </c>
      <c r="G369">
        <v>172</v>
      </c>
      <c r="H369">
        <v>118</v>
      </c>
      <c r="I369">
        <v>172</v>
      </c>
      <c r="J369">
        <v>118</v>
      </c>
      <c r="K369" s="3">
        <v>186.44</v>
      </c>
      <c r="L369" s="3">
        <v>21999.919999999998</v>
      </c>
      <c r="M369" t="s">
        <v>18</v>
      </c>
    </row>
    <row r="370" spans="1:13">
      <c r="A370" t="s">
        <v>438</v>
      </c>
      <c r="B370" s="2">
        <v>46217</v>
      </c>
      <c r="C370" t="s">
        <v>47</v>
      </c>
      <c r="D370" t="s">
        <v>48</v>
      </c>
      <c r="E370" t="s">
        <v>43</v>
      </c>
      <c r="F370" t="s">
        <v>44</v>
      </c>
      <c r="G370">
        <v>441</v>
      </c>
      <c r="H370">
        <v>58</v>
      </c>
      <c r="I370">
        <v>63</v>
      </c>
      <c r="J370">
        <v>436</v>
      </c>
      <c r="K370" s="3">
        <v>165.18</v>
      </c>
      <c r="L370" s="3">
        <v>72018.48</v>
      </c>
      <c r="M370" t="s">
        <v>49</v>
      </c>
    </row>
    <row r="371" spans="1:13">
      <c r="A371" t="s">
        <v>439</v>
      </c>
      <c r="B371" s="2">
        <v>46119</v>
      </c>
      <c r="C371" t="s">
        <v>26</v>
      </c>
      <c r="D371" t="s">
        <v>27</v>
      </c>
      <c r="E371" t="s">
        <v>28</v>
      </c>
      <c r="F371" t="s">
        <v>29</v>
      </c>
      <c r="G371">
        <v>499</v>
      </c>
      <c r="H371">
        <v>28</v>
      </c>
      <c r="I371">
        <v>8</v>
      </c>
      <c r="J371">
        <v>519</v>
      </c>
      <c r="K371" s="3">
        <v>125.81</v>
      </c>
      <c r="L371" s="3">
        <v>65295.39</v>
      </c>
      <c r="M371" t="s">
        <v>18</v>
      </c>
    </row>
    <row r="372" spans="1:13">
      <c r="A372" t="s">
        <v>440</v>
      </c>
      <c r="B372" s="2">
        <v>46031</v>
      </c>
      <c r="C372" t="s">
        <v>80</v>
      </c>
      <c r="D372" t="s">
        <v>81</v>
      </c>
      <c r="E372" t="s">
        <v>28</v>
      </c>
      <c r="F372" t="s">
        <v>33</v>
      </c>
      <c r="G372">
        <v>143</v>
      </c>
      <c r="H372">
        <v>52</v>
      </c>
      <c r="I372">
        <v>17</v>
      </c>
      <c r="J372">
        <v>178</v>
      </c>
      <c r="K372" s="3">
        <v>4.49</v>
      </c>
      <c r="L372" s="3">
        <v>799.22</v>
      </c>
      <c r="M372" t="s">
        <v>49</v>
      </c>
    </row>
    <row r="373" spans="1:13">
      <c r="A373" t="s">
        <v>441</v>
      </c>
      <c r="B373" s="2">
        <v>46047</v>
      </c>
      <c r="C373" t="s">
        <v>55</v>
      </c>
      <c r="D373" t="s">
        <v>56</v>
      </c>
      <c r="E373" t="s">
        <v>28</v>
      </c>
      <c r="F373" t="s">
        <v>29</v>
      </c>
      <c r="G373">
        <v>145</v>
      </c>
      <c r="H373">
        <v>11</v>
      </c>
      <c r="I373">
        <v>102</v>
      </c>
      <c r="J373">
        <v>54</v>
      </c>
      <c r="K373" s="3">
        <v>181.23</v>
      </c>
      <c r="L373" s="3">
        <v>9786.42</v>
      </c>
      <c r="M373" t="s">
        <v>24</v>
      </c>
    </row>
    <row r="374" spans="1:13">
      <c r="A374" t="s">
        <v>442</v>
      </c>
      <c r="B374" s="2">
        <v>46051</v>
      </c>
      <c r="C374" t="s">
        <v>99</v>
      </c>
      <c r="D374" t="s">
        <v>100</v>
      </c>
      <c r="E374" t="s">
        <v>43</v>
      </c>
      <c r="F374" t="s">
        <v>44</v>
      </c>
      <c r="G374">
        <v>91</v>
      </c>
      <c r="H374">
        <v>128</v>
      </c>
      <c r="I374">
        <v>74</v>
      </c>
      <c r="J374">
        <v>145</v>
      </c>
      <c r="K374" s="3">
        <v>239.49</v>
      </c>
      <c r="L374" s="3">
        <v>34726.050000000003</v>
      </c>
      <c r="M374" t="s">
        <v>24</v>
      </c>
    </row>
    <row r="375" spans="1:13">
      <c r="A375" t="s">
        <v>443</v>
      </c>
      <c r="B375" s="2">
        <v>46186</v>
      </c>
      <c r="C375" t="s">
        <v>35</v>
      </c>
      <c r="D375" t="s">
        <v>36</v>
      </c>
      <c r="E375" t="s">
        <v>37</v>
      </c>
      <c r="F375" t="s">
        <v>38</v>
      </c>
      <c r="G375">
        <v>315</v>
      </c>
      <c r="H375">
        <v>153</v>
      </c>
      <c r="I375">
        <v>197</v>
      </c>
      <c r="J375">
        <v>271</v>
      </c>
      <c r="K375" s="3">
        <v>233.48</v>
      </c>
      <c r="L375" s="3">
        <v>63273.08</v>
      </c>
      <c r="M375" t="s">
        <v>18</v>
      </c>
    </row>
    <row r="376" spans="1:13">
      <c r="A376" t="s">
        <v>444</v>
      </c>
      <c r="B376" s="2">
        <v>46177</v>
      </c>
      <c r="C376" t="s">
        <v>51</v>
      </c>
      <c r="D376" t="s">
        <v>52</v>
      </c>
      <c r="E376" t="s">
        <v>28</v>
      </c>
      <c r="F376" t="s">
        <v>33</v>
      </c>
      <c r="G376">
        <v>468</v>
      </c>
      <c r="H376">
        <v>36</v>
      </c>
      <c r="I376">
        <v>169</v>
      </c>
      <c r="J376">
        <v>335</v>
      </c>
      <c r="K376" s="3">
        <v>27.17</v>
      </c>
      <c r="L376" s="3">
        <v>9101.9500000000007</v>
      </c>
      <c r="M376" t="s">
        <v>18</v>
      </c>
    </row>
    <row r="377" spans="1:13">
      <c r="A377" t="s">
        <v>445</v>
      </c>
      <c r="B377" s="2">
        <v>46163</v>
      </c>
      <c r="C377" t="s">
        <v>71</v>
      </c>
      <c r="D377" t="s">
        <v>72</v>
      </c>
      <c r="E377" t="s">
        <v>22</v>
      </c>
      <c r="F377" t="s">
        <v>68</v>
      </c>
      <c r="G377">
        <v>51</v>
      </c>
      <c r="H377">
        <v>142</v>
      </c>
      <c r="I377">
        <v>151</v>
      </c>
      <c r="J377">
        <v>42</v>
      </c>
      <c r="K377" s="3">
        <v>11.94</v>
      </c>
      <c r="L377" s="3">
        <v>501.48</v>
      </c>
      <c r="M377" t="s">
        <v>49</v>
      </c>
    </row>
    <row r="378" spans="1:13">
      <c r="A378" t="s">
        <v>446</v>
      </c>
      <c r="B378" s="2">
        <v>46276</v>
      </c>
      <c r="C378" t="s">
        <v>62</v>
      </c>
      <c r="D378" t="s">
        <v>63</v>
      </c>
      <c r="E378" t="s">
        <v>37</v>
      </c>
      <c r="F378" t="s">
        <v>38</v>
      </c>
      <c r="G378">
        <v>44</v>
      </c>
      <c r="H378">
        <v>88</v>
      </c>
      <c r="I378">
        <v>97</v>
      </c>
      <c r="J378">
        <v>35</v>
      </c>
      <c r="K378" s="3">
        <v>60.73</v>
      </c>
      <c r="L378" s="3">
        <v>2125.5500000000002</v>
      </c>
      <c r="M378" t="s">
        <v>18</v>
      </c>
    </row>
    <row r="379" spans="1:13">
      <c r="A379" t="s">
        <v>447</v>
      </c>
      <c r="B379" s="2">
        <v>46232</v>
      </c>
      <c r="C379" t="s">
        <v>62</v>
      </c>
      <c r="D379" t="s">
        <v>63</v>
      </c>
      <c r="E379" t="s">
        <v>37</v>
      </c>
      <c r="F379" t="s">
        <v>38</v>
      </c>
      <c r="G379">
        <v>96</v>
      </c>
      <c r="H379">
        <v>76</v>
      </c>
      <c r="I379">
        <v>96</v>
      </c>
      <c r="J379">
        <v>76</v>
      </c>
      <c r="K379" s="3">
        <v>55.14</v>
      </c>
      <c r="L379" s="3">
        <v>4190.6400000000003</v>
      </c>
      <c r="M379" t="s">
        <v>24</v>
      </c>
    </row>
    <row r="380" spans="1:13">
      <c r="A380" t="s">
        <v>448</v>
      </c>
      <c r="B380" s="2">
        <v>46146</v>
      </c>
      <c r="C380" t="s">
        <v>124</v>
      </c>
      <c r="D380" t="s">
        <v>125</v>
      </c>
      <c r="E380" t="s">
        <v>22</v>
      </c>
      <c r="F380" t="s">
        <v>23</v>
      </c>
      <c r="G380">
        <v>454</v>
      </c>
      <c r="H380">
        <v>57</v>
      </c>
      <c r="I380">
        <v>76</v>
      </c>
      <c r="J380">
        <v>435</v>
      </c>
      <c r="K380" s="3">
        <v>162.76</v>
      </c>
      <c r="L380" s="3">
        <v>70800.600000000006</v>
      </c>
      <c r="M380" t="s">
        <v>49</v>
      </c>
    </row>
    <row r="381" spans="1:13">
      <c r="A381" t="s">
        <v>449</v>
      </c>
      <c r="B381" s="2">
        <v>46052</v>
      </c>
      <c r="C381" t="s">
        <v>55</v>
      </c>
      <c r="D381" t="s">
        <v>56</v>
      </c>
      <c r="E381" t="s">
        <v>28</v>
      </c>
      <c r="F381" t="s">
        <v>29</v>
      </c>
      <c r="G381">
        <v>307</v>
      </c>
      <c r="H381">
        <v>105</v>
      </c>
      <c r="I381">
        <v>106</v>
      </c>
      <c r="J381">
        <v>306</v>
      </c>
      <c r="K381" s="3">
        <v>184.7</v>
      </c>
      <c r="L381" s="3">
        <v>56518.2</v>
      </c>
      <c r="M381" t="s">
        <v>49</v>
      </c>
    </row>
    <row r="382" spans="1:13">
      <c r="A382" t="s">
        <v>450</v>
      </c>
      <c r="B382" s="2">
        <v>46147</v>
      </c>
      <c r="C382" t="s">
        <v>136</v>
      </c>
      <c r="D382" t="s">
        <v>137</v>
      </c>
      <c r="E382" t="s">
        <v>37</v>
      </c>
      <c r="F382" t="s">
        <v>38</v>
      </c>
      <c r="G382">
        <v>150</v>
      </c>
      <c r="H382">
        <v>52</v>
      </c>
      <c r="I382">
        <v>84</v>
      </c>
      <c r="J382">
        <v>118</v>
      </c>
      <c r="K382" s="3">
        <v>10.59</v>
      </c>
      <c r="L382" s="3">
        <v>1249.6199999999999</v>
      </c>
      <c r="M382" t="s">
        <v>18</v>
      </c>
    </row>
    <row r="383" spans="1:13">
      <c r="A383" t="s">
        <v>451</v>
      </c>
      <c r="B383" s="2">
        <v>46070</v>
      </c>
      <c r="C383" t="s">
        <v>41</v>
      </c>
      <c r="D383" t="s">
        <v>42</v>
      </c>
      <c r="E383" t="s">
        <v>43</v>
      </c>
      <c r="F383" t="s">
        <v>44</v>
      </c>
      <c r="G383">
        <v>294</v>
      </c>
      <c r="H383">
        <v>48</v>
      </c>
      <c r="I383">
        <v>13</v>
      </c>
      <c r="J383">
        <v>329</v>
      </c>
      <c r="K383" s="3">
        <v>137.69</v>
      </c>
      <c r="L383" s="3">
        <v>45300.01</v>
      </c>
      <c r="M383" t="s">
        <v>24</v>
      </c>
    </row>
    <row r="384" spans="1:13">
      <c r="A384" t="s">
        <v>452</v>
      </c>
      <c r="B384" s="2">
        <v>46043</v>
      </c>
      <c r="C384" t="s">
        <v>80</v>
      </c>
      <c r="D384" t="s">
        <v>81</v>
      </c>
      <c r="E384" t="s">
        <v>28</v>
      </c>
      <c r="F384" t="s">
        <v>33</v>
      </c>
      <c r="G384">
        <v>467</v>
      </c>
      <c r="H384">
        <v>18</v>
      </c>
      <c r="I384">
        <v>48</v>
      </c>
      <c r="J384">
        <v>437</v>
      </c>
      <c r="K384" s="3">
        <v>5.03</v>
      </c>
      <c r="L384" s="3">
        <v>2198.11</v>
      </c>
      <c r="M384" t="s">
        <v>24</v>
      </c>
    </row>
    <row r="385" spans="1:13">
      <c r="A385" t="s">
        <v>453</v>
      </c>
      <c r="B385" s="2">
        <v>46134</v>
      </c>
      <c r="C385" t="s">
        <v>47</v>
      </c>
      <c r="D385" t="s">
        <v>48</v>
      </c>
      <c r="E385" t="s">
        <v>43</v>
      </c>
      <c r="F385" t="s">
        <v>44</v>
      </c>
      <c r="G385">
        <v>265</v>
      </c>
      <c r="H385">
        <v>53</v>
      </c>
      <c r="I385">
        <v>85</v>
      </c>
      <c r="J385">
        <v>233</v>
      </c>
      <c r="K385" s="3">
        <v>160.99</v>
      </c>
      <c r="L385" s="3">
        <v>37510.67</v>
      </c>
      <c r="M385" t="s">
        <v>49</v>
      </c>
    </row>
    <row r="386" spans="1:13">
      <c r="A386" t="s">
        <v>454</v>
      </c>
      <c r="B386" s="2">
        <v>46120</v>
      </c>
      <c r="C386" t="s">
        <v>99</v>
      </c>
      <c r="D386" t="s">
        <v>100</v>
      </c>
      <c r="E386" t="s">
        <v>43</v>
      </c>
      <c r="F386" t="s">
        <v>44</v>
      </c>
      <c r="G386">
        <v>399</v>
      </c>
      <c r="H386">
        <v>30</v>
      </c>
      <c r="I386">
        <v>191</v>
      </c>
      <c r="J386">
        <v>238</v>
      </c>
      <c r="K386" s="3">
        <v>270.13</v>
      </c>
      <c r="L386" s="3">
        <v>64290.94</v>
      </c>
      <c r="M386" t="s">
        <v>18</v>
      </c>
    </row>
    <row r="387" spans="1:13">
      <c r="A387" t="s">
        <v>455</v>
      </c>
      <c r="B387" s="2">
        <v>46127</v>
      </c>
      <c r="C387" t="s">
        <v>51</v>
      </c>
      <c r="D387" t="s">
        <v>52</v>
      </c>
      <c r="E387" t="s">
        <v>28</v>
      </c>
      <c r="F387" t="s">
        <v>33</v>
      </c>
      <c r="G387">
        <v>223</v>
      </c>
      <c r="H387">
        <v>61</v>
      </c>
      <c r="I387">
        <v>141</v>
      </c>
      <c r="J387">
        <v>143</v>
      </c>
      <c r="K387" s="3">
        <v>26.31</v>
      </c>
      <c r="L387" s="3">
        <v>3762.33</v>
      </c>
      <c r="M387" t="s">
        <v>18</v>
      </c>
    </row>
    <row r="388" spans="1:13">
      <c r="A388" t="s">
        <v>456</v>
      </c>
      <c r="B388" s="2">
        <v>46261</v>
      </c>
      <c r="C388" t="s">
        <v>136</v>
      </c>
      <c r="D388" t="s">
        <v>137</v>
      </c>
      <c r="E388" t="s">
        <v>37</v>
      </c>
      <c r="F388" t="s">
        <v>38</v>
      </c>
      <c r="G388">
        <v>293</v>
      </c>
      <c r="H388">
        <v>166</v>
      </c>
      <c r="I388">
        <v>91</v>
      </c>
      <c r="J388">
        <v>368</v>
      </c>
      <c r="K388" s="3">
        <v>10.029999999999999</v>
      </c>
      <c r="L388" s="3">
        <v>3691.04</v>
      </c>
      <c r="M388" t="s">
        <v>18</v>
      </c>
    </row>
    <row r="389" spans="1:13">
      <c r="A389" t="s">
        <v>457</v>
      </c>
      <c r="B389" s="2">
        <v>46277</v>
      </c>
      <c r="C389" t="s">
        <v>59</v>
      </c>
      <c r="D389" t="s">
        <v>60</v>
      </c>
      <c r="E389" t="s">
        <v>16</v>
      </c>
      <c r="F389" t="s">
        <v>17</v>
      </c>
      <c r="G389">
        <v>258</v>
      </c>
      <c r="H389">
        <v>25</v>
      </c>
      <c r="I389">
        <v>205</v>
      </c>
      <c r="J389">
        <v>78</v>
      </c>
      <c r="K389" s="3">
        <v>69</v>
      </c>
      <c r="L389" s="3">
        <v>5382</v>
      </c>
      <c r="M389" t="s">
        <v>18</v>
      </c>
    </row>
    <row r="390" spans="1:13">
      <c r="A390" t="s">
        <v>458</v>
      </c>
      <c r="B390" s="2">
        <v>46127</v>
      </c>
      <c r="C390" t="s">
        <v>66</v>
      </c>
      <c r="D390" t="s">
        <v>67</v>
      </c>
      <c r="E390" t="s">
        <v>16</v>
      </c>
      <c r="F390" t="s">
        <v>68</v>
      </c>
      <c r="G390">
        <v>209</v>
      </c>
      <c r="H390">
        <v>80</v>
      </c>
      <c r="I390">
        <v>105</v>
      </c>
      <c r="J390">
        <v>184</v>
      </c>
      <c r="K390" s="3">
        <v>58.94</v>
      </c>
      <c r="L390" s="3">
        <v>10844.96</v>
      </c>
      <c r="M390" t="s">
        <v>49</v>
      </c>
    </row>
    <row r="391" spans="1:13">
      <c r="A391" t="s">
        <v>459</v>
      </c>
      <c r="B391" s="2">
        <v>46031</v>
      </c>
      <c r="C391" t="s">
        <v>77</v>
      </c>
      <c r="D391" t="s">
        <v>78</v>
      </c>
      <c r="E391" t="s">
        <v>16</v>
      </c>
      <c r="F391" t="s">
        <v>17</v>
      </c>
      <c r="G391">
        <v>153</v>
      </c>
      <c r="H391">
        <v>141</v>
      </c>
      <c r="I391">
        <v>149</v>
      </c>
      <c r="J391">
        <v>145</v>
      </c>
      <c r="K391" s="3">
        <v>209.62</v>
      </c>
      <c r="L391" s="3">
        <v>30394.9</v>
      </c>
      <c r="M391" t="s">
        <v>18</v>
      </c>
    </row>
    <row r="392" spans="1:13">
      <c r="A392" t="s">
        <v>460</v>
      </c>
      <c r="B392" s="2">
        <v>46101</v>
      </c>
      <c r="C392" t="s">
        <v>71</v>
      </c>
      <c r="D392" t="s">
        <v>72</v>
      </c>
      <c r="E392" t="s">
        <v>22</v>
      </c>
      <c r="F392" t="s">
        <v>68</v>
      </c>
      <c r="G392">
        <v>120</v>
      </c>
      <c r="H392">
        <v>84</v>
      </c>
      <c r="I392">
        <v>58</v>
      </c>
      <c r="J392">
        <v>146</v>
      </c>
      <c r="K392" s="3">
        <v>11.04</v>
      </c>
      <c r="L392" s="3">
        <v>1611.84</v>
      </c>
      <c r="M392" t="s">
        <v>49</v>
      </c>
    </row>
    <row r="393" spans="1:13">
      <c r="A393" t="s">
        <v>461</v>
      </c>
      <c r="B393" s="2">
        <v>46195</v>
      </c>
      <c r="C393" t="s">
        <v>124</v>
      </c>
      <c r="D393" t="s">
        <v>125</v>
      </c>
      <c r="E393" t="s">
        <v>22</v>
      </c>
      <c r="F393" t="s">
        <v>23</v>
      </c>
      <c r="G393">
        <v>151</v>
      </c>
      <c r="H393">
        <v>125</v>
      </c>
      <c r="I393">
        <v>185</v>
      </c>
      <c r="J393">
        <v>91</v>
      </c>
      <c r="K393" s="3">
        <v>157.44</v>
      </c>
      <c r="L393" s="3">
        <v>14327.04</v>
      </c>
      <c r="M393" t="s">
        <v>18</v>
      </c>
    </row>
    <row r="394" spans="1:13">
      <c r="A394" t="s">
        <v>462</v>
      </c>
      <c r="B394" s="2">
        <v>46109</v>
      </c>
      <c r="C394" t="s">
        <v>55</v>
      </c>
      <c r="D394" t="s">
        <v>56</v>
      </c>
      <c r="E394" t="s">
        <v>28</v>
      </c>
      <c r="F394" t="s">
        <v>29</v>
      </c>
      <c r="G394">
        <v>395</v>
      </c>
      <c r="H394">
        <v>90</v>
      </c>
      <c r="I394">
        <v>43</v>
      </c>
      <c r="J394">
        <v>442</v>
      </c>
      <c r="K394" s="3">
        <v>172.47</v>
      </c>
      <c r="L394" s="3">
        <v>76231.740000000005</v>
      </c>
      <c r="M394" t="s">
        <v>24</v>
      </c>
    </row>
    <row r="395" spans="1:13">
      <c r="A395" t="s">
        <v>463</v>
      </c>
      <c r="B395" s="2">
        <v>46117</v>
      </c>
      <c r="C395" t="s">
        <v>124</v>
      </c>
      <c r="D395" t="s">
        <v>125</v>
      </c>
      <c r="E395" t="s">
        <v>22</v>
      </c>
      <c r="F395" t="s">
        <v>23</v>
      </c>
      <c r="G395">
        <v>489</v>
      </c>
      <c r="H395">
        <v>138</v>
      </c>
      <c r="I395">
        <v>164</v>
      </c>
      <c r="J395">
        <v>463</v>
      </c>
      <c r="K395" s="3">
        <v>165.21</v>
      </c>
      <c r="L395" s="3">
        <v>76492.23</v>
      </c>
      <c r="M395" t="s">
        <v>24</v>
      </c>
    </row>
    <row r="396" spans="1:13">
      <c r="A396" t="s">
        <v>464</v>
      </c>
      <c r="B396" s="2">
        <v>46061</v>
      </c>
      <c r="C396" t="s">
        <v>86</v>
      </c>
      <c r="D396" t="s">
        <v>87</v>
      </c>
      <c r="E396" t="s">
        <v>43</v>
      </c>
      <c r="F396" t="s">
        <v>44</v>
      </c>
      <c r="G396">
        <v>438</v>
      </c>
      <c r="H396">
        <v>171</v>
      </c>
      <c r="I396">
        <v>12</v>
      </c>
      <c r="J396">
        <v>597</v>
      </c>
      <c r="K396" s="3">
        <v>10.35</v>
      </c>
      <c r="L396" s="3">
        <v>6178.95</v>
      </c>
      <c r="M396" t="s">
        <v>18</v>
      </c>
    </row>
    <row r="397" spans="1:13">
      <c r="A397" t="s">
        <v>465</v>
      </c>
      <c r="B397" s="2">
        <v>46141</v>
      </c>
      <c r="C397" t="s">
        <v>77</v>
      </c>
      <c r="D397" t="s">
        <v>78</v>
      </c>
      <c r="E397" t="s">
        <v>16</v>
      </c>
      <c r="F397" t="s">
        <v>17</v>
      </c>
      <c r="G397">
        <v>54</v>
      </c>
      <c r="H397">
        <v>38</v>
      </c>
      <c r="I397">
        <v>1</v>
      </c>
      <c r="J397">
        <v>91</v>
      </c>
      <c r="K397" s="3">
        <v>197.69</v>
      </c>
      <c r="L397" s="3">
        <v>17989.79</v>
      </c>
      <c r="M397" t="s">
        <v>18</v>
      </c>
    </row>
    <row r="398" spans="1:13">
      <c r="A398" t="s">
        <v>466</v>
      </c>
      <c r="B398" s="2">
        <v>46053</v>
      </c>
      <c r="C398" t="s">
        <v>41</v>
      </c>
      <c r="D398" t="s">
        <v>42</v>
      </c>
      <c r="E398" t="s">
        <v>43</v>
      </c>
      <c r="F398" t="s">
        <v>44</v>
      </c>
      <c r="G398">
        <v>336</v>
      </c>
      <c r="H398">
        <v>163</v>
      </c>
      <c r="I398">
        <v>170</v>
      </c>
      <c r="J398">
        <v>329</v>
      </c>
      <c r="K398" s="3">
        <v>152.91</v>
      </c>
      <c r="L398" s="3">
        <v>50307.39</v>
      </c>
      <c r="M398" t="s">
        <v>18</v>
      </c>
    </row>
    <row r="399" spans="1:13">
      <c r="A399" t="s">
        <v>467</v>
      </c>
      <c r="B399" s="2">
        <v>46031</v>
      </c>
      <c r="C399" t="s">
        <v>124</v>
      </c>
      <c r="D399" t="s">
        <v>125</v>
      </c>
      <c r="E399" t="s">
        <v>22</v>
      </c>
      <c r="F399" t="s">
        <v>23</v>
      </c>
      <c r="G399">
        <v>23</v>
      </c>
      <c r="H399">
        <v>136</v>
      </c>
      <c r="I399">
        <v>141</v>
      </c>
      <c r="J399">
        <v>18</v>
      </c>
      <c r="K399" s="3">
        <v>151.76</v>
      </c>
      <c r="L399" s="3">
        <v>2731.68</v>
      </c>
      <c r="M399" t="s">
        <v>49</v>
      </c>
    </row>
    <row r="400" spans="1:13">
      <c r="A400" t="s">
        <v>468</v>
      </c>
      <c r="B400" s="2">
        <v>46163</v>
      </c>
      <c r="C400" t="s">
        <v>59</v>
      </c>
      <c r="D400" t="s">
        <v>60</v>
      </c>
      <c r="E400" t="s">
        <v>16</v>
      </c>
      <c r="F400" t="s">
        <v>17</v>
      </c>
      <c r="G400">
        <v>294</v>
      </c>
      <c r="H400">
        <v>73</v>
      </c>
      <c r="I400">
        <v>4</v>
      </c>
      <c r="J400">
        <v>363</v>
      </c>
      <c r="K400" s="3">
        <v>64.08</v>
      </c>
      <c r="L400" s="3">
        <v>23261.040000000001</v>
      </c>
      <c r="M400" t="s">
        <v>24</v>
      </c>
    </row>
    <row r="401" spans="1:13">
      <c r="A401" t="s">
        <v>469</v>
      </c>
      <c r="B401" s="2">
        <v>46114</v>
      </c>
      <c r="C401" t="s">
        <v>62</v>
      </c>
      <c r="D401" t="s">
        <v>63</v>
      </c>
      <c r="E401" t="s">
        <v>37</v>
      </c>
      <c r="F401" t="s">
        <v>38</v>
      </c>
      <c r="G401">
        <v>74</v>
      </c>
      <c r="H401">
        <v>24</v>
      </c>
      <c r="I401">
        <v>67</v>
      </c>
      <c r="J401">
        <v>31</v>
      </c>
      <c r="K401" s="3">
        <v>54.82</v>
      </c>
      <c r="L401" s="3">
        <v>1699.42</v>
      </c>
      <c r="M401" t="s">
        <v>49</v>
      </c>
    </row>
    <row r="402" spans="1:13">
      <c r="A402" t="s">
        <v>470</v>
      </c>
      <c r="B402" s="2">
        <v>46292</v>
      </c>
      <c r="C402" t="s">
        <v>80</v>
      </c>
      <c r="D402" t="s">
        <v>81</v>
      </c>
      <c r="E402" t="s">
        <v>28</v>
      </c>
      <c r="F402" t="s">
        <v>33</v>
      </c>
      <c r="G402">
        <v>149</v>
      </c>
      <c r="H402">
        <v>90</v>
      </c>
      <c r="I402">
        <v>68</v>
      </c>
      <c r="J402">
        <v>171</v>
      </c>
      <c r="K402" s="3">
        <v>5.03</v>
      </c>
      <c r="L402" s="3">
        <v>860.13</v>
      </c>
      <c r="M402" t="s">
        <v>49</v>
      </c>
    </row>
    <row r="403" spans="1:13">
      <c r="A403" t="s">
        <v>471</v>
      </c>
      <c r="B403" s="2">
        <v>46230</v>
      </c>
      <c r="C403" t="s">
        <v>41</v>
      </c>
      <c r="D403" t="s">
        <v>42</v>
      </c>
      <c r="E403" t="s">
        <v>43</v>
      </c>
      <c r="F403" t="s">
        <v>44</v>
      </c>
      <c r="G403">
        <v>255</v>
      </c>
      <c r="H403">
        <v>144</v>
      </c>
      <c r="I403">
        <v>62</v>
      </c>
      <c r="J403">
        <v>337</v>
      </c>
      <c r="K403" s="3">
        <v>154.19999999999999</v>
      </c>
      <c r="L403" s="3">
        <v>51965.4</v>
      </c>
      <c r="M403" t="s">
        <v>49</v>
      </c>
    </row>
    <row r="404" spans="1:13">
      <c r="A404" t="s">
        <v>472</v>
      </c>
      <c r="B404" s="2">
        <v>46064</v>
      </c>
      <c r="C404" t="s">
        <v>71</v>
      </c>
      <c r="D404" t="s">
        <v>72</v>
      </c>
      <c r="E404" t="s">
        <v>22</v>
      </c>
      <c r="F404" t="s">
        <v>68</v>
      </c>
      <c r="G404">
        <v>354</v>
      </c>
      <c r="H404">
        <v>166</v>
      </c>
      <c r="I404">
        <v>194</v>
      </c>
      <c r="J404">
        <v>326</v>
      </c>
      <c r="K404" s="3">
        <v>10.41</v>
      </c>
      <c r="L404" s="3">
        <v>3393.66</v>
      </c>
      <c r="M404" t="s">
        <v>18</v>
      </c>
    </row>
    <row r="405" spans="1:13">
      <c r="A405" t="s">
        <v>473</v>
      </c>
      <c r="B405" s="2">
        <v>46216</v>
      </c>
      <c r="C405" t="s">
        <v>136</v>
      </c>
      <c r="D405" t="s">
        <v>137</v>
      </c>
      <c r="E405" t="s">
        <v>37</v>
      </c>
      <c r="F405" t="s">
        <v>38</v>
      </c>
      <c r="G405">
        <v>302</v>
      </c>
      <c r="H405">
        <v>121</v>
      </c>
      <c r="I405">
        <v>14</v>
      </c>
      <c r="J405">
        <v>409</v>
      </c>
      <c r="K405" s="3">
        <v>10.58</v>
      </c>
      <c r="L405" s="3">
        <v>4327.22</v>
      </c>
      <c r="M405" t="s">
        <v>24</v>
      </c>
    </row>
    <row r="406" spans="1:13">
      <c r="A406" t="s">
        <v>474</v>
      </c>
      <c r="B406" s="2">
        <v>46065</v>
      </c>
      <c r="C406" t="s">
        <v>14</v>
      </c>
      <c r="D406" t="s">
        <v>15</v>
      </c>
      <c r="E406" t="s">
        <v>16</v>
      </c>
      <c r="F406" t="s">
        <v>17</v>
      </c>
      <c r="G406">
        <v>275</v>
      </c>
      <c r="H406">
        <v>111</v>
      </c>
      <c r="I406">
        <v>165</v>
      </c>
      <c r="J406">
        <v>221</v>
      </c>
      <c r="K406" s="3">
        <v>199.11</v>
      </c>
      <c r="L406" s="3">
        <v>44003.31</v>
      </c>
      <c r="M406" t="s">
        <v>24</v>
      </c>
    </row>
    <row r="407" spans="1:13">
      <c r="A407" t="s">
        <v>475</v>
      </c>
      <c r="B407" s="2">
        <v>46293</v>
      </c>
      <c r="C407" t="s">
        <v>20</v>
      </c>
      <c r="D407" t="s">
        <v>21</v>
      </c>
      <c r="E407" t="s">
        <v>22</v>
      </c>
      <c r="F407" t="s">
        <v>23</v>
      </c>
      <c r="G407">
        <v>490</v>
      </c>
      <c r="H407">
        <v>10</v>
      </c>
      <c r="I407">
        <v>58</v>
      </c>
      <c r="J407">
        <v>442</v>
      </c>
      <c r="K407" s="3">
        <v>61.84</v>
      </c>
      <c r="L407" s="3">
        <v>27333.279999999999</v>
      </c>
      <c r="M407" t="s">
        <v>24</v>
      </c>
    </row>
    <row r="408" spans="1:13">
      <c r="A408" t="s">
        <v>476</v>
      </c>
      <c r="B408" s="2">
        <v>46266</v>
      </c>
      <c r="C408" t="s">
        <v>35</v>
      </c>
      <c r="D408" t="s">
        <v>36</v>
      </c>
      <c r="E408" t="s">
        <v>37</v>
      </c>
      <c r="F408" t="s">
        <v>38</v>
      </c>
      <c r="G408">
        <v>158</v>
      </c>
      <c r="H408">
        <v>11</v>
      </c>
      <c r="I408">
        <v>19</v>
      </c>
      <c r="J408">
        <v>150</v>
      </c>
      <c r="K408" s="3">
        <v>233.92</v>
      </c>
      <c r="L408" s="3">
        <v>35088</v>
      </c>
      <c r="M408" t="s">
        <v>18</v>
      </c>
    </row>
    <row r="409" spans="1:13">
      <c r="A409" t="s">
        <v>477</v>
      </c>
      <c r="B409" s="2">
        <v>46039</v>
      </c>
      <c r="C409" t="s">
        <v>47</v>
      </c>
      <c r="D409" t="s">
        <v>48</v>
      </c>
      <c r="E409" t="s">
        <v>43</v>
      </c>
      <c r="F409" t="s">
        <v>44</v>
      </c>
      <c r="G409">
        <v>111</v>
      </c>
      <c r="H409">
        <v>80</v>
      </c>
      <c r="I409">
        <v>4</v>
      </c>
      <c r="J409">
        <v>187</v>
      </c>
      <c r="K409" s="3">
        <v>178.5</v>
      </c>
      <c r="L409" s="3">
        <v>33379.5</v>
      </c>
      <c r="M409" t="s">
        <v>24</v>
      </c>
    </row>
    <row r="410" spans="1:13">
      <c r="A410" t="s">
        <v>478</v>
      </c>
      <c r="B410" s="2">
        <v>46226</v>
      </c>
      <c r="C410" t="s">
        <v>77</v>
      </c>
      <c r="D410" t="s">
        <v>78</v>
      </c>
      <c r="E410" t="s">
        <v>16</v>
      </c>
      <c r="F410" t="s">
        <v>17</v>
      </c>
      <c r="G410">
        <v>495</v>
      </c>
      <c r="H410">
        <v>19</v>
      </c>
      <c r="I410">
        <v>76</v>
      </c>
      <c r="J410">
        <v>438</v>
      </c>
      <c r="K410" s="3">
        <v>195.82</v>
      </c>
      <c r="L410" s="3">
        <v>85769.16</v>
      </c>
      <c r="M410" t="s">
        <v>49</v>
      </c>
    </row>
    <row r="411" spans="1:13">
      <c r="A411" t="s">
        <v>479</v>
      </c>
      <c r="B411" s="2">
        <v>46222</v>
      </c>
      <c r="C411" t="s">
        <v>35</v>
      </c>
      <c r="D411" t="s">
        <v>36</v>
      </c>
      <c r="E411" t="s">
        <v>37</v>
      </c>
      <c r="F411" t="s">
        <v>38</v>
      </c>
      <c r="G411">
        <v>366</v>
      </c>
      <c r="H411">
        <v>138</v>
      </c>
      <c r="I411">
        <v>84</v>
      </c>
      <c r="J411">
        <v>420</v>
      </c>
      <c r="K411" s="3">
        <v>222.99</v>
      </c>
      <c r="L411" s="3">
        <v>93655.8</v>
      </c>
      <c r="M411" t="s">
        <v>24</v>
      </c>
    </row>
    <row r="412" spans="1:13">
      <c r="A412" t="s">
        <v>480</v>
      </c>
      <c r="B412" s="2">
        <v>46063</v>
      </c>
      <c r="C412" t="s">
        <v>77</v>
      </c>
      <c r="D412" t="s">
        <v>78</v>
      </c>
      <c r="E412" t="s">
        <v>16</v>
      </c>
      <c r="F412" t="s">
        <v>17</v>
      </c>
      <c r="G412">
        <v>276</v>
      </c>
      <c r="H412">
        <v>88</v>
      </c>
      <c r="I412">
        <v>13</v>
      </c>
      <c r="J412">
        <v>351</v>
      </c>
      <c r="K412" s="3">
        <v>193.68</v>
      </c>
      <c r="L412" s="3">
        <v>67981.679999999993</v>
      </c>
      <c r="M412" t="s">
        <v>49</v>
      </c>
    </row>
    <row r="413" spans="1:13">
      <c r="A413" t="s">
        <v>481</v>
      </c>
      <c r="B413" s="2">
        <v>46197</v>
      </c>
      <c r="C413" t="s">
        <v>31</v>
      </c>
      <c r="D413" t="s">
        <v>32</v>
      </c>
      <c r="E413" t="s">
        <v>28</v>
      </c>
      <c r="F413" t="s">
        <v>33</v>
      </c>
      <c r="G413">
        <v>329</v>
      </c>
      <c r="H413">
        <v>157</v>
      </c>
      <c r="I413">
        <v>152</v>
      </c>
      <c r="J413">
        <v>334</v>
      </c>
      <c r="K413" s="3">
        <v>77.87</v>
      </c>
      <c r="L413" s="3">
        <v>26008.58</v>
      </c>
      <c r="M413" t="s">
        <v>18</v>
      </c>
    </row>
    <row r="414" spans="1:13">
      <c r="A414" t="s">
        <v>482</v>
      </c>
      <c r="B414" s="2">
        <v>46162</v>
      </c>
      <c r="C414" t="s">
        <v>116</v>
      </c>
      <c r="D414" t="s">
        <v>117</v>
      </c>
      <c r="E414" t="s">
        <v>22</v>
      </c>
      <c r="F414" t="s">
        <v>23</v>
      </c>
      <c r="G414">
        <v>421</v>
      </c>
      <c r="H414">
        <v>115</v>
      </c>
      <c r="I414">
        <v>125</v>
      </c>
      <c r="J414">
        <v>411</v>
      </c>
      <c r="K414" s="3">
        <v>172.29</v>
      </c>
      <c r="L414" s="3">
        <v>70811.19</v>
      </c>
      <c r="M414" t="s">
        <v>24</v>
      </c>
    </row>
    <row r="415" spans="1:13">
      <c r="A415" t="s">
        <v>483</v>
      </c>
      <c r="B415" s="2">
        <v>46244</v>
      </c>
      <c r="C415" t="s">
        <v>136</v>
      </c>
      <c r="D415" t="s">
        <v>137</v>
      </c>
      <c r="E415" t="s">
        <v>37</v>
      </c>
      <c r="F415" t="s">
        <v>38</v>
      </c>
      <c r="G415">
        <v>115</v>
      </c>
      <c r="H415">
        <v>174</v>
      </c>
      <c r="I415">
        <v>149</v>
      </c>
      <c r="J415">
        <v>140</v>
      </c>
      <c r="K415" s="3">
        <v>10.62</v>
      </c>
      <c r="L415" s="3">
        <v>1486.8</v>
      </c>
      <c r="M415" t="s">
        <v>49</v>
      </c>
    </row>
    <row r="416" spans="1:13">
      <c r="A416" t="s">
        <v>484</v>
      </c>
      <c r="B416" s="2">
        <v>46174</v>
      </c>
      <c r="C416" t="s">
        <v>80</v>
      </c>
      <c r="D416" t="s">
        <v>81</v>
      </c>
      <c r="E416" t="s">
        <v>28</v>
      </c>
      <c r="F416" t="s">
        <v>33</v>
      </c>
      <c r="G416">
        <v>428</v>
      </c>
      <c r="H416">
        <v>63</v>
      </c>
      <c r="I416">
        <v>182</v>
      </c>
      <c r="J416">
        <v>309</v>
      </c>
      <c r="K416" s="3">
        <v>4.47</v>
      </c>
      <c r="L416" s="3">
        <v>1381.23</v>
      </c>
      <c r="M416" t="s">
        <v>18</v>
      </c>
    </row>
    <row r="417" spans="1:13">
      <c r="A417" t="s">
        <v>485</v>
      </c>
      <c r="B417" s="2">
        <v>46217</v>
      </c>
      <c r="C417" t="s">
        <v>77</v>
      </c>
      <c r="D417" t="s">
        <v>78</v>
      </c>
      <c r="E417" t="s">
        <v>16</v>
      </c>
      <c r="F417" t="s">
        <v>17</v>
      </c>
      <c r="G417">
        <v>384</v>
      </c>
      <c r="H417">
        <v>162</v>
      </c>
      <c r="I417">
        <v>39</v>
      </c>
      <c r="J417">
        <v>507</v>
      </c>
      <c r="K417" s="3">
        <v>214.94</v>
      </c>
      <c r="L417" s="3">
        <v>108974.58</v>
      </c>
      <c r="M417" t="s">
        <v>18</v>
      </c>
    </row>
    <row r="418" spans="1:13">
      <c r="A418" t="s">
        <v>486</v>
      </c>
      <c r="B418" s="2">
        <v>46077</v>
      </c>
      <c r="C418" t="s">
        <v>41</v>
      </c>
      <c r="D418" t="s">
        <v>42</v>
      </c>
      <c r="E418" t="s">
        <v>43</v>
      </c>
      <c r="F418" t="s">
        <v>44</v>
      </c>
      <c r="G418">
        <v>66</v>
      </c>
      <c r="H418">
        <v>1</v>
      </c>
      <c r="I418">
        <v>39</v>
      </c>
      <c r="J418">
        <v>28</v>
      </c>
      <c r="K418" s="3">
        <v>141.72</v>
      </c>
      <c r="L418" s="3">
        <v>3968.16</v>
      </c>
      <c r="M418" t="s">
        <v>18</v>
      </c>
    </row>
    <row r="419" spans="1:13">
      <c r="A419" t="s">
        <v>487</v>
      </c>
      <c r="B419" s="2">
        <v>46090</v>
      </c>
      <c r="C419" t="s">
        <v>20</v>
      </c>
      <c r="D419" t="s">
        <v>21</v>
      </c>
      <c r="E419" t="s">
        <v>22</v>
      </c>
      <c r="F419" t="s">
        <v>23</v>
      </c>
      <c r="G419">
        <v>64</v>
      </c>
      <c r="H419">
        <v>47</v>
      </c>
      <c r="I419">
        <v>55</v>
      </c>
      <c r="J419">
        <v>56</v>
      </c>
      <c r="K419" s="3">
        <v>64.3</v>
      </c>
      <c r="L419" s="3">
        <v>3600.8</v>
      </c>
      <c r="M419" t="s">
        <v>24</v>
      </c>
    </row>
    <row r="420" spans="1:13">
      <c r="A420" t="s">
        <v>488</v>
      </c>
      <c r="B420" s="2">
        <v>46231</v>
      </c>
      <c r="C420" t="s">
        <v>59</v>
      </c>
      <c r="D420" t="s">
        <v>60</v>
      </c>
      <c r="E420" t="s">
        <v>16</v>
      </c>
      <c r="F420" t="s">
        <v>17</v>
      </c>
      <c r="G420">
        <v>72</v>
      </c>
      <c r="H420">
        <v>6</v>
      </c>
      <c r="I420">
        <v>11</v>
      </c>
      <c r="J420">
        <v>67</v>
      </c>
      <c r="K420" s="3">
        <v>62.56</v>
      </c>
      <c r="L420" s="3">
        <v>4191.5200000000004</v>
      </c>
      <c r="M420" t="s">
        <v>49</v>
      </c>
    </row>
    <row r="421" spans="1:13">
      <c r="A421" t="s">
        <v>489</v>
      </c>
      <c r="B421" s="2">
        <v>46189</v>
      </c>
      <c r="C421" t="s">
        <v>80</v>
      </c>
      <c r="D421" t="s">
        <v>81</v>
      </c>
      <c r="E421" t="s">
        <v>28</v>
      </c>
      <c r="F421" t="s">
        <v>33</v>
      </c>
      <c r="G421">
        <v>462</v>
      </c>
      <c r="H421">
        <v>98</v>
      </c>
      <c r="I421">
        <v>3</v>
      </c>
      <c r="J421">
        <v>557</v>
      </c>
      <c r="K421" s="3">
        <v>4.6399999999999997</v>
      </c>
      <c r="L421" s="3">
        <v>2584.48</v>
      </c>
      <c r="M421" t="s">
        <v>18</v>
      </c>
    </row>
    <row r="422" spans="1:13">
      <c r="A422" t="s">
        <v>490</v>
      </c>
      <c r="B422" s="2">
        <v>46147</v>
      </c>
      <c r="C422" t="s">
        <v>31</v>
      </c>
      <c r="D422" t="s">
        <v>32</v>
      </c>
      <c r="E422" t="s">
        <v>28</v>
      </c>
      <c r="F422" t="s">
        <v>33</v>
      </c>
      <c r="G422">
        <v>312</v>
      </c>
      <c r="H422">
        <v>133</v>
      </c>
      <c r="I422">
        <v>43</v>
      </c>
      <c r="J422">
        <v>402</v>
      </c>
      <c r="K422" s="3">
        <v>81.53</v>
      </c>
      <c r="L422" s="3">
        <v>32775.06</v>
      </c>
      <c r="M422" t="s">
        <v>49</v>
      </c>
    </row>
    <row r="423" spans="1:13">
      <c r="A423" t="s">
        <v>491</v>
      </c>
      <c r="B423" s="2">
        <v>46160</v>
      </c>
      <c r="C423" t="s">
        <v>77</v>
      </c>
      <c r="D423" t="s">
        <v>78</v>
      </c>
      <c r="E423" t="s">
        <v>16</v>
      </c>
      <c r="F423" t="s">
        <v>17</v>
      </c>
      <c r="G423">
        <v>174</v>
      </c>
      <c r="H423">
        <v>68</v>
      </c>
      <c r="I423">
        <v>126</v>
      </c>
      <c r="J423">
        <v>116</v>
      </c>
      <c r="K423" s="3">
        <v>195.28</v>
      </c>
      <c r="L423" s="3">
        <v>22652.48</v>
      </c>
      <c r="M423" t="s">
        <v>49</v>
      </c>
    </row>
    <row r="424" spans="1:13">
      <c r="A424" t="s">
        <v>492</v>
      </c>
      <c r="B424" s="2">
        <v>46164</v>
      </c>
      <c r="C424" t="s">
        <v>62</v>
      </c>
      <c r="D424" t="s">
        <v>63</v>
      </c>
      <c r="E424" t="s">
        <v>37</v>
      </c>
      <c r="F424" t="s">
        <v>38</v>
      </c>
      <c r="G424">
        <v>235</v>
      </c>
      <c r="H424">
        <v>76</v>
      </c>
      <c r="I424">
        <v>123</v>
      </c>
      <c r="J424">
        <v>188</v>
      </c>
      <c r="K424" s="3">
        <v>60.7</v>
      </c>
      <c r="L424" s="3">
        <v>11411.6</v>
      </c>
      <c r="M424" t="s">
        <v>18</v>
      </c>
    </row>
    <row r="425" spans="1:13">
      <c r="A425" t="s">
        <v>493</v>
      </c>
      <c r="B425" s="2">
        <v>46149</v>
      </c>
      <c r="C425" t="s">
        <v>26</v>
      </c>
      <c r="D425" t="s">
        <v>27</v>
      </c>
      <c r="E425" t="s">
        <v>28</v>
      </c>
      <c r="F425" t="s">
        <v>29</v>
      </c>
      <c r="G425">
        <v>389</v>
      </c>
      <c r="H425">
        <v>160</v>
      </c>
      <c r="I425">
        <v>126</v>
      </c>
      <c r="J425">
        <v>423</v>
      </c>
      <c r="K425" s="3">
        <v>121.67</v>
      </c>
      <c r="L425" s="3">
        <v>51466.41</v>
      </c>
      <c r="M425" t="s">
        <v>49</v>
      </c>
    </row>
    <row r="426" spans="1:13">
      <c r="A426" t="s">
        <v>494</v>
      </c>
      <c r="B426" s="2">
        <v>46077</v>
      </c>
      <c r="C426" t="s">
        <v>55</v>
      </c>
      <c r="D426" t="s">
        <v>56</v>
      </c>
      <c r="E426" t="s">
        <v>28</v>
      </c>
      <c r="F426" t="s">
        <v>29</v>
      </c>
      <c r="G426">
        <v>89</v>
      </c>
      <c r="H426">
        <v>77</v>
      </c>
      <c r="I426">
        <v>1</v>
      </c>
      <c r="J426">
        <v>165</v>
      </c>
      <c r="K426" s="3">
        <v>196.16</v>
      </c>
      <c r="L426" s="3">
        <v>32366.400000000001</v>
      </c>
      <c r="M426" t="s">
        <v>18</v>
      </c>
    </row>
    <row r="427" spans="1:13">
      <c r="A427" t="s">
        <v>495</v>
      </c>
      <c r="B427" s="2">
        <v>46217</v>
      </c>
      <c r="C427" t="s">
        <v>80</v>
      </c>
      <c r="D427" t="s">
        <v>81</v>
      </c>
      <c r="E427" t="s">
        <v>28</v>
      </c>
      <c r="F427" t="s">
        <v>33</v>
      </c>
      <c r="G427">
        <v>431</v>
      </c>
      <c r="H427">
        <v>84</v>
      </c>
      <c r="I427">
        <v>112</v>
      </c>
      <c r="J427">
        <v>403</v>
      </c>
      <c r="K427" s="3">
        <v>4.67</v>
      </c>
      <c r="L427" s="3">
        <v>1882.01</v>
      </c>
      <c r="M427" t="s">
        <v>24</v>
      </c>
    </row>
    <row r="428" spans="1:13">
      <c r="A428" t="s">
        <v>496</v>
      </c>
      <c r="B428" s="2">
        <v>46092</v>
      </c>
      <c r="C428" t="s">
        <v>80</v>
      </c>
      <c r="D428" t="s">
        <v>81</v>
      </c>
      <c r="E428" t="s">
        <v>28</v>
      </c>
      <c r="F428" t="s">
        <v>33</v>
      </c>
      <c r="G428">
        <v>173</v>
      </c>
      <c r="H428">
        <v>82</v>
      </c>
      <c r="I428">
        <v>154</v>
      </c>
      <c r="J428">
        <v>101</v>
      </c>
      <c r="K428" s="3">
        <v>5.14</v>
      </c>
      <c r="L428" s="3">
        <v>519.14</v>
      </c>
      <c r="M428" t="s">
        <v>49</v>
      </c>
    </row>
    <row r="429" spans="1:13">
      <c r="A429" t="s">
        <v>497</v>
      </c>
      <c r="B429" s="2">
        <v>46183</v>
      </c>
      <c r="C429" t="s">
        <v>124</v>
      </c>
      <c r="D429" t="s">
        <v>125</v>
      </c>
      <c r="E429" t="s">
        <v>22</v>
      </c>
      <c r="F429" t="s">
        <v>23</v>
      </c>
      <c r="G429">
        <v>110</v>
      </c>
      <c r="H429">
        <v>101</v>
      </c>
      <c r="I429">
        <v>81</v>
      </c>
      <c r="J429">
        <v>130</v>
      </c>
      <c r="K429" s="3">
        <v>148.81</v>
      </c>
      <c r="L429" s="3">
        <v>19345.3</v>
      </c>
      <c r="M429" t="s">
        <v>24</v>
      </c>
    </row>
    <row r="430" spans="1:13">
      <c r="A430" t="s">
        <v>498</v>
      </c>
      <c r="B430" s="2">
        <v>46147</v>
      </c>
      <c r="C430" t="s">
        <v>124</v>
      </c>
      <c r="D430" t="s">
        <v>125</v>
      </c>
      <c r="E430" t="s">
        <v>22</v>
      </c>
      <c r="F430" t="s">
        <v>23</v>
      </c>
      <c r="G430">
        <v>186</v>
      </c>
      <c r="H430">
        <v>96</v>
      </c>
      <c r="I430">
        <v>71</v>
      </c>
      <c r="J430">
        <v>211</v>
      </c>
      <c r="K430" s="3">
        <v>161.74</v>
      </c>
      <c r="L430" s="3">
        <v>34127.14</v>
      </c>
      <c r="M430" t="s">
        <v>18</v>
      </c>
    </row>
    <row r="431" spans="1:13">
      <c r="A431" t="s">
        <v>499</v>
      </c>
      <c r="B431" s="2">
        <v>46081</v>
      </c>
      <c r="C431" t="s">
        <v>41</v>
      </c>
      <c r="D431" t="s">
        <v>42</v>
      </c>
      <c r="E431" t="s">
        <v>43</v>
      </c>
      <c r="F431" t="s">
        <v>44</v>
      </c>
      <c r="G431">
        <v>497</v>
      </c>
      <c r="H431">
        <v>144</v>
      </c>
      <c r="I431">
        <v>51</v>
      </c>
      <c r="J431">
        <v>590</v>
      </c>
      <c r="K431" s="3">
        <v>145.09</v>
      </c>
      <c r="L431" s="3">
        <v>85603.1</v>
      </c>
      <c r="M431" t="s">
        <v>24</v>
      </c>
    </row>
    <row r="432" spans="1:13">
      <c r="A432" t="s">
        <v>500</v>
      </c>
      <c r="B432" s="2">
        <v>46036</v>
      </c>
      <c r="C432" t="s">
        <v>14</v>
      </c>
      <c r="D432" t="s">
        <v>15</v>
      </c>
      <c r="E432" t="s">
        <v>16</v>
      </c>
      <c r="F432" t="s">
        <v>17</v>
      </c>
      <c r="G432">
        <v>392</v>
      </c>
      <c r="H432">
        <v>118</v>
      </c>
      <c r="I432">
        <v>181</v>
      </c>
      <c r="J432">
        <v>329</v>
      </c>
      <c r="K432" s="3">
        <v>181.6</v>
      </c>
      <c r="L432" s="3">
        <v>59746.400000000001</v>
      </c>
      <c r="M432" t="s">
        <v>18</v>
      </c>
    </row>
    <row r="433" spans="1:13">
      <c r="A433" t="s">
        <v>501</v>
      </c>
      <c r="B433" s="2">
        <v>46232</v>
      </c>
      <c r="C433" t="s">
        <v>31</v>
      </c>
      <c r="D433" t="s">
        <v>32</v>
      </c>
      <c r="E433" t="s">
        <v>28</v>
      </c>
      <c r="F433" t="s">
        <v>33</v>
      </c>
      <c r="G433">
        <v>364</v>
      </c>
      <c r="H433">
        <v>127</v>
      </c>
      <c r="I433">
        <v>35</v>
      </c>
      <c r="J433">
        <v>456</v>
      </c>
      <c r="K433" s="3">
        <v>80.87</v>
      </c>
      <c r="L433" s="3">
        <v>36876.720000000001</v>
      </c>
      <c r="M433" t="s">
        <v>49</v>
      </c>
    </row>
    <row r="434" spans="1:13">
      <c r="A434" t="s">
        <v>502</v>
      </c>
      <c r="B434" s="2">
        <v>46101</v>
      </c>
      <c r="C434" t="s">
        <v>26</v>
      </c>
      <c r="D434" t="s">
        <v>27</v>
      </c>
      <c r="E434" t="s">
        <v>28</v>
      </c>
      <c r="F434" t="s">
        <v>29</v>
      </c>
      <c r="G434">
        <v>386</v>
      </c>
      <c r="H434">
        <v>108</v>
      </c>
      <c r="I434">
        <v>202</v>
      </c>
      <c r="J434">
        <v>292</v>
      </c>
      <c r="K434" s="3">
        <v>117.51</v>
      </c>
      <c r="L434" s="3">
        <v>34312.92</v>
      </c>
      <c r="M434" t="s">
        <v>18</v>
      </c>
    </row>
    <row r="435" spans="1:13">
      <c r="A435" t="s">
        <v>503</v>
      </c>
      <c r="B435" s="2">
        <v>46268</v>
      </c>
      <c r="C435" t="s">
        <v>80</v>
      </c>
      <c r="D435" t="s">
        <v>81</v>
      </c>
      <c r="E435" t="s">
        <v>28</v>
      </c>
      <c r="F435" t="s">
        <v>33</v>
      </c>
      <c r="G435">
        <v>318</v>
      </c>
      <c r="H435">
        <v>102</v>
      </c>
      <c r="I435">
        <v>136</v>
      </c>
      <c r="J435">
        <v>284</v>
      </c>
      <c r="K435" s="3">
        <v>4.8099999999999996</v>
      </c>
      <c r="L435" s="3">
        <v>1366.04</v>
      </c>
      <c r="M435" t="s">
        <v>24</v>
      </c>
    </row>
    <row r="436" spans="1:13">
      <c r="A436" t="s">
        <v>504</v>
      </c>
      <c r="B436" s="2">
        <v>46041</v>
      </c>
      <c r="C436" t="s">
        <v>62</v>
      </c>
      <c r="D436" t="s">
        <v>63</v>
      </c>
      <c r="E436" t="s">
        <v>37</v>
      </c>
      <c r="F436" t="s">
        <v>38</v>
      </c>
      <c r="G436">
        <v>424</v>
      </c>
      <c r="H436">
        <v>92</v>
      </c>
      <c r="I436">
        <v>179</v>
      </c>
      <c r="J436">
        <v>337</v>
      </c>
      <c r="K436" s="3">
        <v>61.75</v>
      </c>
      <c r="L436" s="3">
        <v>20809.75</v>
      </c>
      <c r="M436" t="s">
        <v>24</v>
      </c>
    </row>
    <row r="437" spans="1:13">
      <c r="A437" t="s">
        <v>505</v>
      </c>
      <c r="B437" s="2">
        <v>46066</v>
      </c>
      <c r="C437" t="s">
        <v>80</v>
      </c>
      <c r="D437" t="s">
        <v>81</v>
      </c>
      <c r="E437" t="s">
        <v>28</v>
      </c>
      <c r="F437" t="s">
        <v>33</v>
      </c>
      <c r="G437">
        <v>75</v>
      </c>
      <c r="H437">
        <v>63</v>
      </c>
      <c r="I437">
        <v>90</v>
      </c>
      <c r="J437">
        <v>48</v>
      </c>
      <c r="K437" s="3">
        <v>4.54</v>
      </c>
      <c r="L437" s="3">
        <v>217.92</v>
      </c>
      <c r="M437" t="s">
        <v>24</v>
      </c>
    </row>
    <row r="438" spans="1:13">
      <c r="A438" t="s">
        <v>506</v>
      </c>
      <c r="B438" s="2">
        <v>46227</v>
      </c>
      <c r="C438" t="s">
        <v>86</v>
      </c>
      <c r="D438" t="s">
        <v>87</v>
      </c>
      <c r="E438" t="s">
        <v>43</v>
      </c>
      <c r="F438" t="s">
        <v>44</v>
      </c>
      <c r="G438">
        <v>405</v>
      </c>
      <c r="H438">
        <v>84</v>
      </c>
      <c r="I438">
        <v>203</v>
      </c>
      <c r="J438">
        <v>286</v>
      </c>
      <c r="K438" s="3">
        <v>9.82</v>
      </c>
      <c r="L438" s="3">
        <v>2808.52</v>
      </c>
      <c r="M438" t="s">
        <v>49</v>
      </c>
    </row>
    <row r="439" spans="1:13">
      <c r="A439" t="s">
        <v>507</v>
      </c>
      <c r="B439" s="2">
        <v>46155</v>
      </c>
      <c r="C439" t="s">
        <v>20</v>
      </c>
      <c r="D439" t="s">
        <v>21</v>
      </c>
      <c r="E439" t="s">
        <v>22</v>
      </c>
      <c r="F439" t="s">
        <v>23</v>
      </c>
      <c r="G439">
        <v>133</v>
      </c>
      <c r="H439">
        <v>130</v>
      </c>
      <c r="I439">
        <v>191</v>
      </c>
      <c r="J439">
        <v>72</v>
      </c>
      <c r="K439" s="3">
        <v>65.02</v>
      </c>
      <c r="L439" s="3">
        <v>4681.4399999999996</v>
      </c>
      <c r="M439" t="s">
        <v>24</v>
      </c>
    </row>
    <row r="440" spans="1:13">
      <c r="A440" t="s">
        <v>508</v>
      </c>
      <c r="B440" s="2">
        <v>46136</v>
      </c>
      <c r="C440" t="s">
        <v>35</v>
      </c>
      <c r="D440" t="s">
        <v>36</v>
      </c>
      <c r="E440" t="s">
        <v>37</v>
      </c>
      <c r="F440" t="s">
        <v>38</v>
      </c>
      <c r="G440">
        <v>248</v>
      </c>
      <c r="H440">
        <v>95</v>
      </c>
      <c r="I440">
        <v>100</v>
      </c>
      <c r="J440">
        <v>243</v>
      </c>
      <c r="K440" s="3">
        <v>225.87</v>
      </c>
      <c r="L440" s="3">
        <v>54886.41</v>
      </c>
      <c r="M440" t="s">
        <v>24</v>
      </c>
    </row>
    <row r="441" spans="1:13">
      <c r="A441" t="s">
        <v>509</v>
      </c>
      <c r="B441" s="2">
        <v>46279</v>
      </c>
      <c r="C441" t="s">
        <v>35</v>
      </c>
      <c r="D441" t="s">
        <v>36</v>
      </c>
      <c r="E441" t="s">
        <v>37</v>
      </c>
      <c r="F441" t="s">
        <v>38</v>
      </c>
      <c r="G441">
        <v>97</v>
      </c>
      <c r="H441">
        <v>88</v>
      </c>
      <c r="I441">
        <v>6</v>
      </c>
      <c r="J441">
        <v>179</v>
      </c>
      <c r="K441" s="3">
        <v>226.59</v>
      </c>
      <c r="L441" s="3">
        <v>40559.61</v>
      </c>
      <c r="M441" t="s">
        <v>18</v>
      </c>
    </row>
    <row r="442" spans="1:13">
      <c r="A442" t="s">
        <v>510</v>
      </c>
      <c r="B442" s="2">
        <v>46066</v>
      </c>
      <c r="C442" t="s">
        <v>62</v>
      </c>
      <c r="D442" t="s">
        <v>63</v>
      </c>
      <c r="E442" t="s">
        <v>37</v>
      </c>
      <c r="F442" t="s">
        <v>38</v>
      </c>
      <c r="G442">
        <v>79</v>
      </c>
      <c r="H442">
        <v>36</v>
      </c>
      <c r="I442">
        <v>44</v>
      </c>
      <c r="J442">
        <v>71</v>
      </c>
      <c r="K442" s="3">
        <v>56.33</v>
      </c>
      <c r="L442" s="3">
        <v>3999.43</v>
      </c>
      <c r="M442" t="s">
        <v>18</v>
      </c>
    </row>
    <row r="443" spans="1:13">
      <c r="A443" t="s">
        <v>511</v>
      </c>
      <c r="B443" s="2">
        <v>46289</v>
      </c>
      <c r="C443" t="s">
        <v>99</v>
      </c>
      <c r="D443" t="s">
        <v>100</v>
      </c>
      <c r="E443" t="s">
        <v>43</v>
      </c>
      <c r="F443" t="s">
        <v>44</v>
      </c>
      <c r="G443">
        <v>267</v>
      </c>
      <c r="H443">
        <v>89</v>
      </c>
      <c r="I443">
        <v>121</v>
      </c>
      <c r="J443">
        <v>235</v>
      </c>
      <c r="K443" s="3">
        <v>234.03</v>
      </c>
      <c r="L443" s="3">
        <v>54997.05</v>
      </c>
      <c r="M443" t="s">
        <v>24</v>
      </c>
    </row>
    <row r="444" spans="1:13">
      <c r="A444" t="s">
        <v>512</v>
      </c>
      <c r="B444" s="2">
        <v>46186</v>
      </c>
      <c r="C444" t="s">
        <v>55</v>
      </c>
      <c r="D444" t="s">
        <v>56</v>
      </c>
      <c r="E444" t="s">
        <v>28</v>
      </c>
      <c r="F444" t="s">
        <v>29</v>
      </c>
      <c r="G444">
        <v>54</v>
      </c>
      <c r="H444">
        <v>76</v>
      </c>
      <c r="I444">
        <v>11</v>
      </c>
      <c r="J444">
        <v>119</v>
      </c>
      <c r="K444" s="3">
        <v>192.1</v>
      </c>
      <c r="L444" s="3">
        <v>22859.9</v>
      </c>
      <c r="M444" t="s">
        <v>49</v>
      </c>
    </row>
    <row r="445" spans="1:13">
      <c r="A445" t="s">
        <v>513</v>
      </c>
      <c r="B445" s="2">
        <v>46198</v>
      </c>
      <c r="C445" t="s">
        <v>116</v>
      </c>
      <c r="D445" t="s">
        <v>117</v>
      </c>
      <c r="E445" t="s">
        <v>22</v>
      </c>
      <c r="F445" t="s">
        <v>23</v>
      </c>
      <c r="G445">
        <v>351</v>
      </c>
      <c r="H445">
        <v>27</v>
      </c>
      <c r="I445">
        <v>173</v>
      </c>
      <c r="J445">
        <v>205</v>
      </c>
      <c r="K445" s="3">
        <v>188.77</v>
      </c>
      <c r="L445" s="3">
        <v>38697.85</v>
      </c>
      <c r="M445" t="s">
        <v>24</v>
      </c>
    </row>
    <row r="446" spans="1:13">
      <c r="A446" t="s">
        <v>514</v>
      </c>
      <c r="B446" s="2">
        <v>46287</v>
      </c>
      <c r="C446" t="s">
        <v>51</v>
      </c>
      <c r="D446" t="s">
        <v>52</v>
      </c>
      <c r="E446" t="s">
        <v>28</v>
      </c>
      <c r="F446" t="s">
        <v>33</v>
      </c>
      <c r="G446">
        <v>109</v>
      </c>
      <c r="H446">
        <v>141</v>
      </c>
      <c r="I446">
        <v>40</v>
      </c>
      <c r="J446">
        <v>210</v>
      </c>
      <c r="K446" s="3">
        <v>26.35</v>
      </c>
      <c r="L446" s="3">
        <v>5533.5</v>
      </c>
      <c r="M446" t="s">
        <v>18</v>
      </c>
    </row>
    <row r="447" spans="1:13">
      <c r="A447" t="s">
        <v>515</v>
      </c>
      <c r="B447" s="2">
        <v>46141</v>
      </c>
      <c r="C447" t="s">
        <v>55</v>
      </c>
      <c r="D447" t="s">
        <v>56</v>
      </c>
      <c r="E447" t="s">
        <v>28</v>
      </c>
      <c r="F447" t="s">
        <v>29</v>
      </c>
      <c r="G447">
        <v>428</v>
      </c>
      <c r="H447">
        <v>103</v>
      </c>
      <c r="I447">
        <v>161</v>
      </c>
      <c r="J447">
        <v>370</v>
      </c>
      <c r="K447" s="3">
        <v>173.78</v>
      </c>
      <c r="L447" s="3">
        <v>64298.6</v>
      </c>
      <c r="M447" t="s">
        <v>24</v>
      </c>
    </row>
    <row r="448" spans="1:13">
      <c r="A448" t="s">
        <v>516</v>
      </c>
      <c r="B448" s="2">
        <v>46225</v>
      </c>
      <c r="C448" t="s">
        <v>62</v>
      </c>
      <c r="D448" t="s">
        <v>63</v>
      </c>
      <c r="E448" t="s">
        <v>37</v>
      </c>
      <c r="F448" t="s">
        <v>38</v>
      </c>
      <c r="G448">
        <v>34</v>
      </c>
      <c r="H448">
        <v>157</v>
      </c>
      <c r="I448">
        <v>50</v>
      </c>
      <c r="J448">
        <v>141</v>
      </c>
      <c r="K448" s="3">
        <v>57.61</v>
      </c>
      <c r="L448" s="3">
        <v>8123.01</v>
      </c>
      <c r="M448" t="s">
        <v>18</v>
      </c>
    </row>
    <row r="449" spans="1:13">
      <c r="A449" t="s">
        <v>517</v>
      </c>
      <c r="B449" s="2">
        <v>46025</v>
      </c>
      <c r="C449" t="s">
        <v>136</v>
      </c>
      <c r="D449" t="s">
        <v>137</v>
      </c>
      <c r="E449" t="s">
        <v>37</v>
      </c>
      <c r="F449" t="s">
        <v>38</v>
      </c>
      <c r="G449">
        <v>380</v>
      </c>
      <c r="H449">
        <v>54</v>
      </c>
      <c r="I449">
        <v>52</v>
      </c>
      <c r="J449">
        <v>382</v>
      </c>
      <c r="K449" s="3">
        <v>9.98</v>
      </c>
      <c r="L449" s="3">
        <v>3812.36</v>
      </c>
      <c r="M449" t="s">
        <v>24</v>
      </c>
    </row>
    <row r="450" spans="1:13">
      <c r="A450" t="s">
        <v>518</v>
      </c>
      <c r="B450" s="2">
        <v>46075</v>
      </c>
      <c r="C450" t="s">
        <v>31</v>
      </c>
      <c r="D450" t="s">
        <v>32</v>
      </c>
      <c r="E450" t="s">
        <v>28</v>
      </c>
      <c r="F450" t="s">
        <v>33</v>
      </c>
      <c r="G450">
        <v>429</v>
      </c>
      <c r="H450">
        <v>137</v>
      </c>
      <c r="I450">
        <v>47</v>
      </c>
      <c r="J450">
        <v>519</v>
      </c>
      <c r="K450" s="3">
        <v>77.48</v>
      </c>
      <c r="L450" s="3">
        <v>40212.120000000003</v>
      </c>
      <c r="M450" t="s">
        <v>49</v>
      </c>
    </row>
    <row r="451" spans="1:13">
      <c r="A451" t="s">
        <v>519</v>
      </c>
      <c r="B451" s="2">
        <v>46081</v>
      </c>
      <c r="C451" t="s">
        <v>55</v>
      </c>
      <c r="D451" t="s">
        <v>56</v>
      </c>
      <c r="E451" t="s">
        <v>28</v>
      </c>
      <c r="F451" t="s">
        <v>29</v>
      </c>
      <c r="G451">
        <v>154</v>
      </c>
      <c r="H451">
        <v>171</v>
      </c>
      <c r="I451">
        <v>220</v>
      </c>
      <c r="J451">
        <v>105</v>
      </c>
      <c r="K451" s="3">
        <v>182.71</v>
      </c>
      <c r="L451" s="3">
        <v>19184.55</v>
      </c>
      <c r="M451" t="s">
        <v>24</v>
      </c>
    </row>
    <row r="452" spans="1:13">
      <c r="A452" t="s">
        <v>520</v>
      </c>
      <c r="B452" s="2">
        <v>46221</v>
      </c>
      <c r="C452" t="s">
        <v>66</v>
      </c>
      <c r="D452" t="s">
        <v>67</v>
      </c>
      <c r="E452" t="s">
        <v>16</v>
      </c>
      <c r="F452" t="s">
        <v>68</v>
      </c>
      <c r="G452">
        <v>332</v>
      </c>
      <c r="H452">
        <v>100</v>
      </c>
      <c r="I452">
        <v>150</v>
      </c>
      <c r="J452">
        <v>282</v>
      </c>
      <c r="K452" s="3">
        <v>59.64</v>
      </c>
      <c r="L452" s="3">
        <v>16818.48</v>
      </c>
      <c r="M452" t="s">
        <v>18</v>
      </c>
    </row>
    <row r="453" spans="1:13">
      <c r="A453" t="s">
        <v>521</v>
      </c>
      <c r="B453" s="2">
        <v>46111</v>
      </c>
      <c r="C453" t="s">
        <v>55</v>
      </c>
      <c r="D453" t="s">
        <v>56</v>
      </c>
      <c r="E453" t="s">
        <v>28</v>
      </c>
      <c r="F453" t="s">
        <v>29</v>
      </c>
      <c r="G453">
        <v>436</v>
      </c>
      <c r="H453">
        <v>172</v>
      </c>
      <c r="I453">
        <v>180</v>
      </c>
      <c r="J453">
        <v>428</v>
      </c>
      <c r="K453" s="3">
        <v>191.82</v>
      </c>
      <c r="L453" s="3">
        <v>82098.960000000006</v>
      </c>
      <c r="M453" t="s">
        <v>24</v>
      </c>
    </row>
    <row r="454" spans="1:13">
      <c r="A454" t="s">
        <v>522</v>
      </c>
      <c r="B454" s="2">
        <v>46066</v>
      </c>
      <c r="C454" t="s">
        <v>35</v>
      </c>
      <c r="D454" t="s">
        <v>36</v>
      </c>
      <c r="E454" t="s">
        <v>37</v>
      </c>
      <c r="F454" t="s">
        <v>38</v>
      </c>
      <c r="G454">
        <v>364</v>
      </c>
      <c r="H454">
        <v>34</v>
      </c>
      <c r="I454">
        <v>80</v>
      </c>
      <c r="J454">
        <v>318</v>
      </c>
      <c r="K454" s="3">
        <v>213.32</v>
      </c>
      <c r="L454" s="3">
        <v>67835.759999999995</v>
      </c>
      <c r="M454" t="s">
        <v>18</v>
      </c>
    </row>
    <row r="455" spans="1:13">
      <c r="A455" t="s">
        <v>523</v>
      </c>
      <c r="B455" s="2">
        <v>46116</v>
      </c>
      <c r="C455" t="s">
        <v>20</v>
      </c>
      <c r="D455" t="s">
        <v>21</v>
      </c>
      <c r="E455" t="s">
        <v>22</v>
      </c>
      <c r="F455" t="s">
        <v>23</v>
      </c>
      <c r="G455">
        <v>211</v>
      </c>
      <c r="H455">
        <v>177</v>
      </c>
      <c r="I455">
        <v>36</v>
      </c>
      <c r="J455">
        <v>352</v>
      </c>
      <c r="K455" s="3">
        <v>64.94</v>
      </c>
      <c r="L455" s="3">
        <v>22858.880000000001</v>
      </c>
      <c r="M455" t="s">
        <v>18</v>
      </c>
    </row>
    <row r="456" spans="1:13">
      <c r="A456" t="s">
        <v>524</v>
      </c>
      <c r="B456" s="2">
        <v>46093</v>
      </c>
      <c r="C456" t="s">
        <v>80</v>
      </c>
      <c r="D456" t="s">
        <v>81</v>
      </c>
      <c r="E456" t="s">
        <v>28</v>
      </c>
      <c r="F456" t="s">
        <v>33</v>
      </c>
      <c r="G456">
        <v>314</v>
      </c>
      <c r="H456">
        <v>98</v>
      </c>
      <c r="I456">
        <v>108</v>
      </c>
      <c r="J456">
        <v>304</v>
      </c>
      <c r="K456" s="3">
        <v>4.5599999999999996</v>
      </c>
      <c r="L456" s="3">
        <v>1386.24</v>
      </c>
      <c r="M456" t="s">
        <v>24</v>
      </c>
    </row>
    <row r="457" spans="1:13">
      <c r="A457" t="s">
        <v>525</v>
      </c>
      <c r="B457" s="2">
        <v>46111</v>
      </c>
      <c r="C457" t="s">
        <v>47</v>
      </c>
      <c r="D457" t="s">
        <v>48</v>
      </c>
      <c r="E457" t="s">
        <v>43</v>
      </c>
      <c r="F457" t="s">
        <v>44</v>
      </c>
      <c r="G457">
        <v>304</v>
      </c>
      <c r="H457">
        <v>42</v>
      </c>
      <c r="I457">
        <v>125</v>
      </c>
      <c r="J457">
        <v>221</v>
      </c>
      <c r="K457" s="3">
        <v>160.61000000000001</v>
      </c>
      <c r="L457" s="3">
        <v>35494.81</v>
      </c>
      <c r="M457" t="s">
        <v>49</v>
      </c>
    </row>
    <row r="458" spans="1:13">
      <c r="A458" t="s">
        <v>526</v>
      </c>
      <c r="B458" s="2">
        <v>46253</v>
      </c>
      <c r="C458" t="s">
        <v>66</v>
      </c>
      <c r="D458" t="s">
        <v>67</v>
      </c>
      <c r="E458" t="s">
        <v>16</v>
      </c>
      <c r="F458" t="s">
        <v>68</v>
      </c>
      <c r="G458">
        <v>337</v>
      </c>
      <c r="H458">
        <v>13</v>
      </c>
      <c r="I458">
        <v>91</v>
      </c>
      <c r="J458">
        <v>259</v>
      </c>
      <c r="K458" s="3">
        <v>68.16</v>
      </c>
      <c r="L458" s="3">
        <v>17653.439999999999</v>
      </c>
      <c r="M458" t="s">
        <v>18</v>
      </c>
    </row>
    <row r="459" spans="1:13">
      <c r="A459" t="s">
        <v>527</v>
      </c>
      <c r="B459" s="2">
        <v>46122</v>
      </c>
      <c r="C459" t="s">
        <v>77</v>
      </c>
      <c r="D459" t="s">
        <v>78</v>
      </c>
      <c r="E459" t="s">
        <v>16</v>
      </c>
      <c r="F459" t="s">
        <v>17</v>
      </c>
      <c r="G459">
        <v>437</v>
      </c>
      <c r="H459">
        <v>98</v>
      </c>
      <c r="I459">
        <v>143</v>
      </c>
      <c r="J459">
        <v>392</v>
      </c>
      <c r="K459" s="3">
        <v>207.18</v>
      </c>
      <c r="L459" s="3">
        <v>81214.559999999998</v>
      </c>
      <c r="M459" t="s">
        <v>18</v>
      </c>
    </row>
    <row r="460" spans="1:13">
      <c r="A460" t="s">
        <v>528</v>
      </c>
      <c r="B460" s="2">
        <v>46274</v>
      </c>
      <c r="C460" t="s">
        <v>62</v>
      </c>
      <c r="D460" t="s">
        <v>63</v>
      </c>
      <c r="E460" t="s">
        <v>37</v>
      </c>
      <c r="F460" t="s">
        <v>38</v>
      </c>
      <c r="G460">
        <v>232</v>
      </c>
      <c r="H460">
        <v>113</v>
      </c>
      <c r="I460">
        <v>125</v>
      </c>
      <c r="J460">
        <v>220</v>
      </c>
      <c r="K460" s="3">
        <v>54.99</v>
      </c>
      <c r="L460" s="3">
        <v>12097.8</v>
      </c>
      <c r="M460" t="s">
        <v>24</v>
      </c>
    </row>
    <row r="461" spans="1:13">
      <c r="A461" t="s">
        <v>529</v>
      </c>
      <c r="B461" s="2">
        <v>46135</v>
      </c>
      <c r="C461" t="s">
        <v>116</v>
      </c>
      <c r="D461" t="s">
        <v>117</v>
      </c>
      <c r="E461" t="s">
        <v>22</v>
      </c>
      <c r="F461" t="s">
        <v>23</v>
      </c>
      <c r="G461">
        <v>169</v>
      </c>
      <c r="H461">
        <v>8</v>
      </c>
      <c r="I461">
        <v>70</v>
      </c>
      <c r="J461">
        <v>107</v>
      </c>
      <c r="K461" s="3">
        <v>172.19</v>
      </c>
      <c r="L461" s="3">
        <v>18424.330000000002</v>
      </c>
      <c r="M461" t="s">
        <v>18</v>
      </c>
    </row>
    <row r="462" spans="1:13">
      <c r="A462" t="s">
        <v>530</v>
      </c>
      <c r="B462" s="2">
        <v>46257</v>
      </c>
      <c r="C462" t="s">
        <v>14</v>
      </c>
      <c r="D462" t="s">
        <v>15</v>
      </c>
      <c r="E462" t="s">
        <v>16</v>
      </c>
      <c r="F462" t="s">
        <v>17</v>
      </c>
      <c r="G462">
        <v>309</v>
      </c>
      <c r="H462">
        <v>126</v>
      </c>
      <c r="I462">
        <v>140</v>
      </c>
      <c r="J462">
        <v>295</v>
      </c>
      <c r="K462" s="3">
        <v>190.78</v>
      </c>
      <c r="L462" s="3">
        <v>56280.1</v>
      </c>
      <c r="M462" t="s">
        <v>24</v>
      </c>
    </row>
    <row r="463" spans="1:13">
      <c r="A463" t="s">
        <v>531</v>
      </c>
      <c r="B463" s="2">
        <v>46160</v>
      </c>
      <c r="C463" t="s">
        <v>20</v>
      </c>
      <c r="D463" t="s">
        <v>21</v>
      </c>
      <c r="E463" t="s">
        <v>22</v>
      </c>
      <c r="F463" t="s">
        <v>23</v>
      </c>
      <c r="G463">
        <v>416</v>
      </c>
      <c r="H463">
        <v>139</v>
      </c>
      <c r="I463">
        <v>210</v>
      </c>
      <c r="J463">
        <v>345</v>
      </c>
      <c r="K463" s="3">
        <v>69.92</v>
      </c>
      <c r="L463" s="3">
        <v>24122.400000000001</v>
      </c>
      <c r="M463" t="s">
        <v>24</v>
      </c>
    </row>
    <row r="464" spans="1:13">
      <c r="A464" t="s">
        <v>532</v>
      </c>
      <c r="B464" s="2">
        <v>46248</v>
      </c>
      <c r="C464" t="s">
        <v>86</v>
      </c>
      <c r="D464" t="s">
        <v>87</v>
      </c>
      <c r="E464" t="s">
        <v>43</v>
      </c>
      <c r="F464" t="s">
        <v>44</v>
      </c>
      <c r="G464">
        <v>299</v>
      </c>
      <c r="H464">
        <v>55</v>
      </c>
      <c r="I464">
        <v>108</v>
      </c>
      <c r="J464">
        <v>246</v>
      </c>
      <c r="K464" s="3">
        <v>9.3000000000000007</v>
      </c>
      <c r="L464" s="3">
        <v>2287.8000000000002</v>
      </c>
      <c r="M464" t="s">
        <v>24</v>
      </c>
    </row>
    <row r="465" spans="1:13">
      <c r="A465" t="s">
        <v>533</v>
      </c>
      <c r="B465" s="2">
        <v>46175</v>
      </c>
      <c r="C465" t="s">
        <v>51</v>
      </c>
      <c r="D465" t="s">
        <v>52</v>
      </c>
      <c r="E465" t="s">
        <v>28</v>
      </c>
      <c r="F465" t="s">
        <v>33</v>
      </c>
      <c r="G465">
        <v>467</v>
      </c>
      <c r="H465">
        <v>8</v>
      </c>
      <c r="I465">
        <v>115</v>
      </c>
      <c r="J465">
        <v>360</v>
      </c>
      <c r="K465" s="3">
        <v>26.05</v>
      </c>
      <c r="L465" s="3">
        <v>9378</v>
      </c>
      <c r="M465" t="s">
        <v>49</v>
      </c>
    </row>
    <row r="466" spans="1:13">
      <c r="A466" t="s">
        <v>534</v>
      </c>
      <c r="B466" s="2">
        <v>46083</v>
      </c>
      <c r="C466" t="s">
        <v>55</v>
      </c>
      <c r="D466" t="s">
        <v>56</v>
      </c>
      <c r="E466" t="s">
        <v>28</v>
      </c>
      <c r="F466" t="s">
        <v>29</v>
      </c>
      <c r="G466">
        <v>417</v>
      </c>
      <c r="H466">
        <v>60</v>
      </c>
      <c r="I466">
        <v>53</v>
      </c>
      <c r="J466">
        <v>424</v>
      </c>
      <c r="K466" s="3">
        <v>192.12</v>
      </c>
      <c r="L466" s="3">
        <v>81458.880000000005</v>
      </c>
      <c r="M466" t="s">
        <v>24</v>
      </c>
    </row>
    <row r="467" spans="1:13">
      <c r="A467" t="s">
        <v>535</v>
      </c>
      <c r="B467" s="2">
        <v>46242</v>
      </c>
      <c r="C467" t="s">
        <v>41</v>
      </c>
      <c r="D467" t="s">
        <v>42</v>
      </c>
      <c r="E467" t="s">
        <v>43</v>
      </c>
      <c r="F467" t="s">
        <v>44</v>
      </c>
      <c r="G467">
        <v>104</v>
      </c>
      <c r="H467">
        <v>157</v>
      </c>
      <c r="I467">
        <v>35</v>
      </c>
      <c r="J467">
        <v>226</v>
      </c>
      <c r="K467" s="3">
        <v>149.5</v>
      </c>
      <c r="L467" s="3">
        <v>33787</v>
      </c>
      <c r="M467" t="s">
        <v>49</v>
      </c>
    </row>
    <row r="468" spans="1:13">
      <c r="A468" t="s">
        <v>536</v>
      </c>
      <c r="B468" s="2">
        <v>46202</v>
      </c>
      <c r="C468" t="s">
        <v>86</v>
      </c>
      <c r="D468" t="s">
        <v>87</v>
      </c>
      <c r="E468" t="s">
        <v>43</v>
      </c>
      <c r="F468" t="s">
        <v>44</v>
      </c>
      <c r="G468">
        <v>292</v>
      </c>
      <c r="H468">
        <v>71</v>
      </c>
      <c r="I468">
        <v>152</v>
      </c>
      <c r="J468">
        <v>211</v>
      </c>
      <c r="K468" s="3">
        <v>9.99</v>
      </c>
      <c r="L468" s="3">
        <v>2107.89</v>
      </c>
      <c r="M468" t="s">
        <v>18</v>
      </c>
    </row>
    <row r="469" spans="1:13">
      <c r="A469" t="s">
        <v>537</v>
      </c>
      <c r="B469" s="2">
        <v>46171</v>
      </c>
      <c r="C469" t="s">
        <v>71</v>
      </c>
      <c r="D469" t="s">
        <v>72</v>
      </c>
      <c r="E469" t="s">
        <v>22</v>
      </c>
      <c r="F469" t="s">
        <v>68</v>
      </c>
      <c r="G469">
        <v>313</v>
      </c>
      <c r="H469">
        <v>68</v>
      </c>
      <c r="I469">
        <v>219</v>
      </c>
      <c r="J469">
        <v>162</v>
      </c>
      <c r="K469" s="3">
        <v>11.28</v>
      </c>
      <c r="L469" s="3">
        <v>1827.36</v>
      </c>
      <c r="M469" t="s">
        <v>24</v>
      </c>
    </row>
    <row r="470" spans="1:13">
      <c r="A470" t="s">
        <v>538</v>
      </c>
      <c r="B470" s="2">
        <v>46092</v>
      </c>
      <c r="C470" t="s">
        <v>20</v>
      </c>
      <c r="D470" t="s">
        <v>21</v>
      </c>
      <c r="E470" t="s">
        <v>22</v>
      </c>
      <c r="F470" t="s">
        <v>23</v>
      </c>
      <c r="G470">
        <v>404</v>
      </c>
      <c r="H470">
        <v>105</v>
      </c>
      <c r="I470">
        <v>15</v>
      </c>
      <c r="J470">
        <v>494</v>
      </c>
      <c r="K470" s="3">
        <v>69.94</v>
      </c>
      <c r="L470" s="3">
        <v>34550.36</v>
      </c>
      <c r="M470" t="s">
        <v>24</v>
      </c>
    </row>
    <row r="471" spans="1:13">
      <c r="A471" t="s">
        <v>539</v>
      </c>
      <c r="B471" s="2">
        <v>46090</v>
      </c>
      <c r="C471" t="s">
        <v>77</v>
      </c>
      <c r="D471" t="s">
        <v>78</v>
      </c>
      <c r="E471" t="s">
        <v>16</v>
      </c>
      <c r="F471" t="s">
        <v>17</v>
      </c>
      <c r="G471">
        <v>147</v>
      </c>
      <c r="H471">
        <v>37</v>
      </c>
      <c r="I471">
        <v>182</v>
      </c>
      <c r="J471">
        <v>2</v>
      </c>
      <c r="K471" s="3">
        <v>201.11</v>
      </c>
      <c r="L471" s="3">
        <v>402.22</v>
      </c>
      <c r="M471" t="s">
        <v>49</v>
      </c>
    </row>
    <row r="472" spans="1:13">
      <c r="A472" t="s">
        <v>540</v>
      </c>
      <c r="B472" s="2">
        <v>46273</v>
      </c>
      <c r="C472" t="s">
        <v>136</v>
      </c>
      <c r="D472" t="s">
        <v>137</v>
      </c>
      <c r="E472" t="s">
        <v>37</v>
      </c>
      <c r="F472" t="s">
        <v>38</v>
      </c>
      <c r="G472">
        <v>92</v>
      </c>
      <c r="H472">
        <v>147</v>
      </c>
      <c r="I472">
        <v>161</v>
      </c>
      <c r="J472">
        <v>78</v>
      </c>
      <c r="K472" s="3">
        <v>9.9700000000000006</v>
      </c>
      <c r="L472" s="3">
        <v>777.66</v>
      </c>
      <c r="M472" t="s">
        <v>18</v>
      </c>
    </row>
    <row r="473" spans="1:13">
      <c r="A473" t="s">
        <v>541</v>
      </c>
      <c r="B473" s="2">
        <v>46254</v>
      </c>
      <c r="C473" t="s">
        <v>136</v>
      </c>
      <c r="D473" t="s">
        <v>137</v>
      </c>
      <c r="E473" t="s">
        <v>37</v>
      </c>
      <c r="F473" t="s">
        <v>38</v>
      </c>
      <c r="G473">
        <v>58</v>
      </c>
      <c r="H473">
        <v>162</v>
      </c>
      <c r="I473">
        <v>203</v>
      </c>
      <c r="J473">
        <v>17</v>
      </c>
      <c r="K473" s="3">
        <v>10.98</v>
      </c>
      <c r="L473" s="3">
        <v>186.66</v>
      </c>
      <c r="M473" t="s">
        <v>49</v>
      </c>
    </row>
    <row r="474" spans="1:13">
      <c r="A474" t="s">
        <v>542</v>
      </c>
      <c r="B474" s="2">
        <v>46286</v>
      </c>
      <c r="C474" t="s">
        <v>136</v>
      </c>
      <c r="D474" t="s">
        <v>137</v>
      </c>
      <c r="E474" t="s">
        <v>37</v>
      </c>
      <c r="F474" t="s">
        <v>38</v>
      </c>
      <c r="G474">
        <v>403</v>
      </c>
      <c r="H474">
        <v>71</v>
      </c>
      <c r="I474">
        <v>177</v>
      </c>
      <c r="J474">
        <v>297</v>
      </c>
      <c r="K474" s="3">
        <v>11.07</v>
      </c>
      <c r="L474" s="3">
        <v>3287.79</v>
      </c>
      <c r="M474" t="s">
        <v>18</v>
      </c>
    </row>
    <row r="475" spans="1:13">
      <c r="A475" t="s">
        <v>543</v>
      </c>
      <c r="B475" s="2">
        <v>46272</v>
      </c>
      <c r="C475" t="s">
        <v>55</v>
      </c>
      <c r="D475" t="s">
        <v>56</v>
      </c>
      <c r="E475" t="s">
        <v>28</v>
      </c>
      <c r="F475" t="s">
        <v>29</v>
      </c>
      <c r="G475">
        <v>187</v>
      </c>
      <c r="H475">
        <v>148</v>
      </c>
      <c r="I475">
        <v>0</v>
      </c>
      <c r="J475">
        <v>335</v>
      </c>
      <c r="K475" s="3">
        <v>193.82</v>
      </c>
      <c r="L475" s="3">
        <v>64929.7</v>
      </c>
      <c r="M475" t="s">
        <v>24</v>
      </c>
    </row>
    <row r="476" spans="1:13">
      <c r="A476" t="s">
        <v>544</v>
      </c>
      <c r="B476" s="2">
        <v>46257</v>
      </c>
      <c r="C476" t="s">
        <v>31</v>
      </c>
      <c r="D476" t="s">
        <v>32</v>
      </c>
      <c r="E476" t="s">
        <v>28</v>
      </c>
      <c r="F476" t="s">
        <v>33</v>
      </c>
      <c r="G476">
        <v>345</v>
      </c>
      <c r="H476">
        <v>170</v>
      </c>
      <c r="I476">
        <v>178</v>
      </c>
      <c r="J476">
        <v>337</v>
      </c>
      <c r="K476" s="3">
        <v>77.39</v>
      </c>
      <c r="L476" s="3">
        <v>26080.43</v>
      </c>
      <c r="M476" t="s">
        <v>49</v>
      </c>
    </row>
    <row r="477" spans="1:13">
      <c r="A477" t="s">
        <v>545</v>
      </c>
      <c r="B477" s="2">
        <v>46226</v>
      </c>
      <c r="C477" t="s">
        <v>47</v>
      </c>
      <c r="D477" t="s">
        <v>48</v>
      </c>
      <c r="E477" t="s">
        <v>43</v>
      </c>
      <c r="F477" t="s">
        <v>44</v>
      </c>
      <c r="G477">
        <v>131</v>
      </c>
      <c r="H477">
        <v>109</v>
      </c>
      <c r="I477">
        <v>211</v>
      </c>
      <c r="J477">
        <v>29</v>
      </c>
      <c r="K477" s="3">
        <v>158.56</v>
      </c>
      <c r="L477" s="3">
        <v>4598.24</v>
      </c>
      <c r="M477" t="s">
        <v>18</v>
      </c>
    </row>
    <row r="478" spans="1:13">
      <c r="A478" t="s">
        <v>546</v>
      </c>
      <c r="B478" s="2">
        <v>46168</v>
      </c>
      <c r="C478" t="s">
        <v>66</v>
      </c>
      <c r="D478" t="s">
        <v>67</v>
      </c>
      <c r="E478" t="s">
        <v>16</v>
      </c>
      <c r="F478" t="s">
        <v>68</v>
      </c>
      <c r="G478">
        <v>192</v>
      </c>
      <c r="H478">
        <v>140</v>
      </c>
      <c r="I478">
        <v>147</v>
      </c>
      <c r="J478">
        <v>185</v>
      </c>
      <c r="K478" s="3">
        <v>59.81</v>
      </c>
      <c r="L478" s="3">
        <v>11064.85</v>
      </c>
      <c r="M478" t="s">
        <v>18</v>
      </c>
    </row>
    <row r="479" spans="1:13">
      <c r="A479" t="s">
        <v>547</v>
      </c>
      <c r="B479" s="2">
        <v>46047</v>
      </c>
      <c r="C479" t="s">
        <v>66</v>
      </c>
      <c r="D479" t="s">
        <v>67</v>
      </c>
      <c r="E479" t="s">
        <v>16</v>
      </c>
      <c r="F479" t="s">
        <v>68</v>
      </c>
      <c r="G479">
        <v>43</v>
      </c>
      <c r="H479">
        <v>25</v>
      </c>
      <c r="I479">
        <v>58</v>
      </c>
      <c r="J479">
        <v>10</v>
      </c>
      <c r="K479" s="3">
        <v>58.64</v>
      </c>
      <c r="L479" s="3">
        <v>586.4</v>
      </c>
      <c r="M479" t="s">
        <v>49</v>
      </c>
    </row>
    <row r="480" spans="1:13">
      <c r="A480" t="s">
        <v>548</v>
      </c>
      <c r="B480" s="2">
        <v>46256</v>
      </c>
      <c r="C480" t="s">
        <v>55</v>
      </c>
      <c r="D480" t="s">
        <v>56</v>
      </c>
      <c r="E480" t="s">
        <v>28</v>
      </c>
      <c r="F480" t="s">
        <v>29</v>
      </c>
      <c r="G480">
        <v>20</v>
      </c>
      <c r="H480">
        <v>109</v>
      </c>
      <c r="I480">
        <v>51</v>
      </c>
      <c r="J480">
        <v>78</v>
      </c>
      <c r="K480" s="3">
        <v>197.53</v>
      </c>
      <c r="L480" s="3">
        <v>15407.34</v>
      </c>
      <c r="M480" t="s">
        <v>49</v>
      </c>
    </row>
    <row r="481" spans="1:13">
      <c r="A481" t="s">
        <v>549</v>
      </c>
      <c r="B481" s="2">
        <v>46104</v>
      </c>
      <c r="C481" t="s">
        <v>71</v>
      </c>
      <c r="D481" t="s">
        <v>72</v>
      </c>
      <c r="E481" t="s">
        <v>22</v>
      </c>
      <c r="F481" t="s">
        <v>68</v>
      </c>
      <c r="G481">
        <v>467</v>
      </c>
      <c r="H481">
        <v>70</v>
      </c>
      <c r="I481">
        <v>23</v>
      </c>
      <c r="J481">
        <v>514</v>
      </c>
      <c r="K481" s="3">
        <v>11.53</v>
      </c>
      <c r="L481" s="3">
        <v>5926.42</v>
      </c>
      <c r="M481" t="s">
        <v>18</v>
      </c>
    </row>
    <row r="482" spans="1:13">
      <c r="A482" t="s">
        <v>550</v>
      </c>
      <c r="B482" s="2">
        <v>46213</v>
      </c>
      <c r="C482" t="s">
        <v>31</v>
      </c>
      <c r="D482" t="s">
        <v>32</v>
      </c>
      <c r="E482" t="s">
        <v>28</v>
      </c>
      <c r="F482" t="s">
        <v>33</v>
      </c>
      <c r="G482">
        <v>360</v>
      </c>
      <c r="H482">
        <v>166</v>
      </c>
      <c r="I482">
        <v>42</v>
      </c>
      <c r="J482">
        <v>484</v>
      </c>
      <c r="K482" s="3">
        <v>73.5</v>
      </c>
      <c r="L482" s="3">
        <v>35574</v>
      </c>
      <c r="M482" t="s">
        <v>24</v>
      </c>
    </row>
    <row r="483" spans="1:13">
      <c r="A483" t="s">
        <v>551</v>
      </c>
      <c r="B483" s="2">
        <v>46142</v>
      </c>
      <c r="C483" t="s">
        <v>71</v>
      </c>
      <c r="D483" t="s">
        <v>72</v>
      </c>
      <c r="E483" t="s">
        <v>22</v>
      </c>
      <c r="F483" t="s">
        <v>68</v>
      </c>
      <c r="G483">
        <v>239</v>
      </c>
      <c r="H483">
        <v>167</v>
      </c>
      <c r="I483">
        <v>23</v>
      </c>
      <c r="J483">
        <v>383</v>
      </c>
      <c r="K483" s="3">
        <v>11.62</v>
      </c>
      <c r="L483" s="3">
        <v>4450.46</v>
      </c>
      <c r="M483" t="s">
        <v>49</v>
      </c>
    </row>
    <row r="484" spans="1:13">
      <c r="A484" t="s">
        <v>552</v>
      </c>
      <c r="B484" s="2">
        <v>46267</v>
      </c>
      <c r="C484" t="s">
        <v>99</v>
      </c>
      <c r="D484" t="s">
        <v>100</v>
      </c>
      <c r="E484" t="s">
        <v>43</v>
      </c>
      <c r="F484" t="s">
        <v>44</v>
      </c>
      <c r="G484">
        <v>59</v>
      </c>
      <c r="H484">
        <v>33</v>
      </c>
      <c r="I484">
        <v>75</v>
      </c>
      <c r="J484">
        <v>17</v>
      </c>
      <c r="K484" s="3">
        <v>239.18</v>
      </c>
      <c r="L484" s="3">
        <v>4066.06</v>
      </c>
      <c r="M484" t="s">
        <v>24</v>
      </c>
    </row>
    <row r="485" spans="1:13">
      <c r="A485" t="s">
        <v>553</v>
      </c>
      <c r="B485" s="2">
        <v>46027</v>
      </c>
      <c r="C485" t="s">
        <v>55</v>
      </c>
      <c r="D485" t="s">
        <v>56</v>
      </c>
      <c r="E485" t="s">
        <v>28</v>
      </c>
      <c r="F485" t="s">
        <v>29</v>
      </c>
      <c r="G485">
        <v>24</v>
      </c>
      <c r="H485">
        <v>178</v>
      </c>
      <c r="I485">
        <v>87</v>
      </c>
      <c r="J485">
        <v>115</v>
      </c>
      <c r="K485" s="3">
        <v>192.3</v>
      </c>
      <c r="L485" s="3">
        <v>22114.5</v>
      </c>
      <c r="M485" t="s">
        <v>18</v>
      </c>
    </row>
    <row r="486" spans="1:13">
      <c r="A486" t="s">
        <v>554</v>
      </c>
      <c r="B486" s="2">
        <v>46267</v>
      </c>
      <c r="C486" t="s">
        <v>77</v>
      </c>
      <c r="D486" t="s">
        <v>78</v>
      </c>
      <c r="E486" t="s">
        <v>16</v>
      </c>
      <c r="F486" t="s">
        <v>17</v>
      </c>
      <c r="G486">
        <v>56</v>
      </c>
      <c r="H486">
        <v>58</v>
      </c>
      <c r="I486">
        <v>49</v>
      </c>
      <c r="J486">
        <v>65</v>
      </c>
      <c r="K486" s="3">
        <v>193.4</v>
      </c>
      <c r="L486" s="3">
        <v>12571</v>
      </c>
      <c r="M486" t="s">
        <v>49</v>
      </c>
    </row>
    <row r="487" spans="1:13">
      <c r="A487" t="s">
        <v>555</v>
      </c>
      <c r="B487" s="2">
        <v>46183</v>
      </c>
      <c r="C487" t="s">
        <v>20</v>
      </c>
      <c r="D487" t="s">
        <v>21</v>
      </c>
      <c r="E487" t="s">
        <v>22</v>
      </c>
      <c r="F487" t="s">
        <v>23</v>
      </c>
      <c r="G487">
        <v>208</v>
      </c>
      <c r="H487">
        <v>76</v>
      </c>
      <c r="I487">
        <v>35</v>
      </c>
      <c r="J487">
        <v>249</v>
      </c>
      <c r="K487" s="3">
        <v>63.61</v>
      </c>
      <c r="L487" s="3">
        <v>15838.89</v>
      </c>
      <c r="M487" t="s">
        <v>49</v>
      </c>
    </row>
    <row r="488" spans="1:13">
      <c r="A488" t="s">
        <v>556</v>
      </c>
      <c r="B488" s="2">
        <v>46058</v>
      </c>
      <c r="C488" t="s">
        <v>77</v>
      </c>
      <c r="D488" t="s">
        <v>78</v>
      </c>
      <c r="E488" t="s">
        <v>16</v>
      </c>
      <c r="F488" t="s">
        <v>17</v>
      </c>
      <c r="G488">
        <v>291</v>
      </c>
      <c r="H488">
        <v>144</v>
      </c>
      <c r="I488">
        <v>2</v>
      </c>
      <c r="J488">
        <v>433</v>
      </c>
      <c r="K488" s="3">
        <v>210.66</v>
      </c>
      <c r="L488" s="3">
        <v>91215.78</v>
      </c>
      <c r="M488" t="s">
        <v>49</v>
      </c>
    </row>
    <row r="489" spans="1:13">
      <c r="A489" t="s">
        <v>557</v>
      </c>
      <c r="B489" s="2">
        <v>46202</v>
      </c>
      <c r="C489" t="s">
        <v>55</v>
      </c>
      <c r="D489" t="s">
        <v>56</v>
      </c>
      <c r="E489" t="s">
        <v>28</v>
      </c>
      <c r="F489" t="s">
        <v>29</v>
      </c>
      <c r="G489">
        <v>389</v>
      </c>
      <c r="H489">
        <v>54</v>
      </c>
      <c r="I489">
        <v>160</v>
      </c>
      <c r="J489">
        <v>283</v>
      </c>
      <c r="K489" s="3">
        <v>190.29</v>
      </c>
      <c r="L489" s="3">
        <v>53852.07</v>
      </c>
      <c r="M489" t="s">
        <v>18</v>
      </c>
    </row>
    <row r="490" spans="1:13">
      <c r="A490" t="s">
        <v>558</v>
      </c>
      <c r="B490" s="2">
        <v>46249</v>
      </c>
      <c r="C490" t="s">
        <v>80</v>
      </c>
      <c r="D490" t="s">
        <v>81</v>
      </c>
      <c r="E490" t="s">
        <v>28</v>
      </c>
      <c r="F490" t="s">
        <v>33</v>
      </c>
      <c r="G490">
        <v>460</v>
      </c>
      <c r="H490">
        <v>55</v>
      </c>
      <c r="I490">
        <v>22</v>
      </c>
      <c r="J490">
        <v>493</v>
      </c>
      <c r="K490" s="3">
        <v>5.0999999999999996</v>
      </c>
      <c r="L490" s="3">
        <v>2514.3000000000002</v>
      </c>
      <c r="M490" t="s">
        <v>49</v>
      </c>
    </row>
    <row r="491" spans="1:13">
      <c r="A491" t="s">
        <v>559</v>
      </c>
      <c r="B491" s="2">
        <v>46219</v>
      </c>
      <c r="C491" t="s">
        <v>20</v>
      </c>
      <c r="D491" t="s">
        <v>21</v>
      </c>
      <c r="E491" t="s">
        <v>22</v>
      </c>
      <c r="F491" t="s">
        <v>23</v>
      </c>
      <c r="G491">
        <v>199</v>
      </c>
      <c r="H491">
        <v>109</v>
      </c>
      <c r="I491">
        <v>80</v>
      </c>
      <c r="J491">
        <v>228</v>
      </c>
      <c r="K491" s="3">
        <v>67.849999999999994</v>
      </c>
      <c r="L491" s="3">
        <v>15469.8</v>
      </c>
      <c r="M491" t="s">
        <v>49</v>
      </c>
    </row>
    <row r="492" spans="1:13">
      <c r="A492" t="s">
        <v>560</v>
      </c>
      <c r="B492" s="2">
        <v>46066</v>
      </c>
      <c r="C492" t="s">
        <v>26</v>
      </c>
      <c r="D492" t="s">
        <v>27</v>
      </c>
      <c r="E492" t="s">
        <v>28</v>
      </c>
      <c r="F492" t="s">
        <v>29</v>
      </c>
      <c r="G492">
        <v>147</v>
      </c>
      <c r="H492">
        <v>141</v>
      </c>
      <c r="I492">
        <v>153</v>
      </c>
      <c r="J492">
        <v>135</v>
      </c>
      <c r="K492" s="3">
        <v>121.79</v>
      </c>
      <c r="L492" s="3">
        <v>16441.650000000001</v>
      </c>
      <c r="M492" t="s">
        <v>24</v>
      </c>
    </row>
    <row r="493" spans="1:13">
      <c r="A493" t="s">
        <v>561</v>
      </c>
      <c r="B493" s="2">
        <v>46036</v>
      </c>
      <c r="C493" t="s">
        <v>71</v>
      </c>
      <c r="D493" t="s">
        <v>72</v>
      </c>
      <c r="E493" t="s">
        <v>22</v>
      </c>
      <c r="F493" t="s">
        <v>68</v>
      </c>
      <c r="G493">
        <v>454</v>
      </c>
      <c r="H493">
        <v>168</v>
      </c>
      <c r="I493">
        <v>77</v>
      </c>
      <c r="J493">
        <v>545</v>
      </c>
      <c r="K493" s="3">
        <v>10.72</v>
      </c>
      <c r="L493" s="3">
        <v>5842.4</v>
      </c>
      <c r="M493" t="s">
        <v>24</v>
      </c>
    </row>
    <row r="494" spans="1:13">
      <c r="A494" t="s">
        <v>562</v>
      </c>
      <c r="B494" s="2">
        <v>46119</v>
      </c>
      <c r="C494" t="s">
        <v>59</v>
      </c>
      <c r="D494" t="s">
        <v>60</v>
      </c>
      <c r="E494" t="s">
        <v>16</v>
      </c>
      <c r="F494" t="s">
        <v>17</v>
      </c>
      <c r="G494">
        <v>402</v>
      </c>
      <c r="H494">
        <v>100</v>
      </c>
      <c r="I494">
        <v>75</v>
      </c>
      <c r="J494">
        <v>427</v>
      </c>
      <c r="K494" s="3">
        <v>65.56</v>
      </c>
      <c r="L494" s="3">
        <v>27994.12</v>
      </c>
      <c r="M494" t="s">
        <v>49</v>
      </c>
    </row>
    <row r="495" spans="1:13">
      <c r="A495" t="s">
        <v>563</v>
      </c>
      <c r="B495" s="2">
        <v>46220</v>
      </c>
      <c r="C495" t="s">
        <v>124</v>
      </c>
      <c r="D495" t="s">
        <v>125</v>
      </c>
      <c r="E495" t="s">
        <v>22</v>
      </c>
      <c r="F495" t="s">
        <v>23</v>
      </c>
      <c r="G495">
        <v>77</v>
      </c>
      <c r="H495">
        <v>61</v>
      </c>
      <c r="I495">
        <v>127</v>
      </c>
      <c r="J495">
        <v>11</v>
      </c>
      <c r="K495" s="3">
        <v>157.35</v>
      </c>
      <c r="L495" s="3">
        <v>1730.85</v>
      </c>
      <c r="M495" t="s">
        <v>49</v>
      </c>
    </row>
    <row r="496" spans="1:13">
      <c r="A496" t="s">
        <v>564</v>
      </c>
      <c r="B496" s="2">
        <v>46029</v>
      </c>
      <c r="C496" t="s">
        <v>59</v>
      </c>
      <c r="D496" t="s">
        <v>60</v>
      </c>
      <c r="E496" t="s">
        <v>16</v>
      </c>
      <c r="F496" t="s">
        <v>17</v>
      </c>
      <c r="G496">
        <v>204</v>
      </c>
      <c r="H496">
        <v>81</v>
      </c>
      <c r="I496">
        <v>33</v>
      </c>
      <c r="J496">
        <v>252</v>
      </c>
      <c r="K496" s="3">
        <v>62.9</v>
      </c>
      <c r="L496" s="3">
        <v>15850.8</v>
      </c>
      <c r="M496" t="s">
        <v>24</v>
      </c>
    </row>
    <row r="497" spans="1:13">
      <c r="A497" t="s">
        <v>565</v>
      </c>
      <c r="B497" s="2">
        <v>46210</v>
      </c>
      <c r="C497" t="s">
        <v>62</v>
      </c>
      <c r="D497" t="s">
        <v>63</v>
      </c>
      <c r="E497" t="s">
        <v>37</v>
      </c>
      <c r="F497" t="s">
        <v>38</v>
      </c>
      <c r="G497">
        <v>299</v>
      </c>
      <c r="H497">
        <v>174</v>
      </c>
      <c r="I497">
        <v>44</v>
      </c>
      <c r="J497">
        <v>429</v>
      </c>
      <c r="K497" s="3">
        <v>60.52</v>
      </c>
      <c r="L497" s="3">
        <v>25963.08</v>
      </c>
      <c r="M497" t="s">
        <v>49</v>
      </c>
    </row>
    <row r="498" spans="1:13">
      <c r="A498" t="s">
        <v>566</v>
      </c>
      <c r="B498" s="2">
        <v>46057</v>
      </c>
      <c r="C498" t="s">
        <v>116</v>
      </c>
      <c r="D498" t="s">
        <v>117</v>
      </c>
      <c r="E498" t="s">
        <v>22</v>
      </c>
      <c r="F498" t="s">
        <v>23</v>
      </c>
      <c r="G498">
        <v>27</v>
      </c>
      <c r="H498">
        <v>67</v>
      </c>
      <c r="I498">
        <v>27</v>
      </c>
      <c r="J498">
        <v>67</v>
      </c>
      <c r="K498" s="3">
        <v>166.86</v>
      </c>
      <c r="L498" s="3">
        <v>11179.62</v>
      </c>
      <c r="M498" t="s">
        <v>49</v>
      </c>
    </row>
    <row r="499" spans="1:13">
      <c r="A499" t="s">
        <v>567</v>
      </c>
      <c r="B499" s="2">
        <v>46282</v>
      </c>
      <c r="C499" t="s">
        <v>136</v>
      </c>
      <c r="D499" t="s">
        <v>137</v>
      </c>
      <c r="E499" t="s">
        <v>37</v>
      </c>
      <c r="F499" t="s">
        <v>38</v>
      </c>
      <c r="G499">
        <v>166</v>
      </c>
      <c r="H499">
        <v>160</v>
      </c>
      <c r="I499">
        <v>182</v>
      </c>
      <c r="J499">
        <v>144</v>
      </c>
      <c r="K499" s="3">
        <v>10.35</v>
      </c>
      <c r="L499" s="3">
        <v>1490.4</v>
      </c>
      <c r="M499" t="s">
        <v>18</v>
      </c>
    </row>
    <row r="500" spans="1:13">
      <c r="A500" t="s">
        <v>568</v>
      </c>
      <c r="B500" s="2">
        <v>46228</v>
      </c>
      <c r="C500" t="s">
        <v>62</v>
      </c>
      <c r="D500" t="s">
        <v>63</v>
      </c>
      <c r="E500" t="s">
        <v>37</v>
      </c>
      <c r="F500" t="s">
        <v>38</v>
      </c>
      <c r="G500">
        <v>62</v>
      </c>
      <c r="H500">
        <v>163</v>
      </c>
      <c r="I500">
        <v>137</v>
      </c>
      <c r="J500">
        <v>88</v>
      </c>
      <c r="K500" s="3">
        <v>58.43</v>
      </c>
      <c r="L500" s="3">
        <v>5141.84</v>
      </c>
      <c r="M500" t="s">
        <v>49</v>
      </c>
    </row>
    <row r="501" spans="1:13">
      <c r="A501" t="s">
        <v>569</v>
      </c>
      <c r="B501" s="2">
        <v>46065</v>
      </c>
      <c r="C501" t="s">
        <v>26</v>
      </c>
      <c r="D501" t="s">
        <v>27</v>
      </c>
      <c r="E501" t="s">
        <v>28</v>
      </c>
      <c r="F501" t="s">
        <v>29</v>
      </c>
      <c r="G501">
        <v>178</v>
      </c>
      <c r="H501">
        <v>20</v>
      </c>
      <c r="I501">
        <v>130</v>
      </c>
      <c r="J501">
        <v>68</v>
      </c>
      <c r="K501" s="3">
        <v>127.95</v>
      </c>
      <c r="L501" s="3">
        <v>8700.6</v>
      </c>
      <c r="M501" t="s">
        <v>49</v>
      </c>
    </row>
    <row r="502" spans="1:13">
      <c r="A502" t="s">
        <v>570</v>
      </c>
      <c r="B502" s="2">
        <v>46190</v>
      </c>
      <c r="C502" t="s">
        <v>47</v>
      </c>
      <c r="D502" t="s">
        <v>48</v>
      </c>
      <c r="E502" t="s">
        <v>43</v>
      </c>
      <c r="F502" t="s">
        <v>44</v>
      </c>
      <c r="G502">
        <v>220</v>
      </c>
      <c r="H502">
        <v>150</v>
      </c>
      <c r="I502">
        <v>162</v>
      </c>
      <c r="J502">
        <v>208</v>
      </c>
      <c r="K502" s="3">
        <v>173.23</v>
      </c>
      <c r="L502" s="3">
        <v>36031.839999999997</v>
      </c>
      <c r="M502" t="s">
        <v>24</v>
      </c>
    </row>
    <row r="503" spans="1:13">
      <c r="A503" t="s">
        <v>571</v>
      </c>
      <c r="B503" s="2">
        <v>46181</v>
      </c>
      <c r="C503" t="s">
        <v>31</v>
      </c>
      <c r="D503" t="s">
        <v>32</v>
      </c>
      <c r="E503" t="s">
        <v>28</v>
      </c>
      <c r="F503" t="s">
        <v>33</v>
      </c>
      <c r="G503">
        <v>377</v>
      </c>
      <c r="H503">
        <v>111</v>
      </c>
      <c r="I503">
        <v>186</v>
      </c>
      <c r="J503">
        <v>302</v>
      </c>
      <c r="K503" s="3">
        <v>84.93</v>
      </c>
      <c r="L503" s="3">
        <v>25648.86</v>
      </c>
      <c r="M503" t="s">
        <v>49</v>
      </c>
    </row>
    <row r="504" spans="1:13">
      <c r="A504" t="s">
        <v>572</v>
      </c>
      <c r="B504" s="2">
        <v>46148</v>
      </c>
      <c r="C504" t="s">
        <v>86</v>
      </c>
      <c r="D504" t="s">
        <v>87</v>
      </c>
      <c r="E504" t="s">
        <v>43</v>
      </c>
      <c r="F504" t="s">
        <v>44</v>
      </c>
      <c r="G504">
        <v>64</v>
      </c>
      <c r="H504">
        <v>111</v>
      </c>
      <c r="I504">
        <v>29</v>
      </c>
      <c r="J504">
        <v>146</v>
      </c>
      <c r="K504" s="3">
        <v>9.85</v>
      </c>
      <c r="L504" s="3">
        <v>1438.1</v>
      </c>
      <c r="M504" t="s">
        <v>24</v>
      </c>
    </row>
    <row r="505" spans="1:13">
      <c r="A505" t="s">
        <v>573</v>
      </c>
      <c r="B505" s="2">
        <v>46181</v>
      </c>
      <c r="C505" t="s">
        <v>86</v>
      </c>
      <c r="D505" t="s">
        <v>87</v>
      </c>
      <c r="E505" t="s">
        <v>43</v>
      </c>
      <c r="F505" t="s">
        <v>44</v>
      </c>
      <c r="G505">
        <v>361</v>
      </c>
      <c r="H505">
        <v>168</v>
      </c>
      <c r="I505">
        <v>189</v>
      </c>
      <c r="J505">
        <v>340</v>
      </c>
      <c r="K505" s="3">
        <v>9.41</v>
      </c>
      <c r="L505" s="3">
        <v>3199.4</v>
      </c>
      <c r="M505" t="s">
        <v>49</v>
      </c>
    </row>
    <row r="506" spans="1:13">
      <c r="A506" t="s">
        <v>574</v>
      </c>
      <c r="B506" s="2">
        <v>46028</v>
      </c>
      <c r="C506" t="s">
        <v>77</v>
      </c>
      <c r="D506" t="s">
        <v>78</v>
      </c>
      <c r="E506" t="s">
        <v>16</v>
      </c>
      <c r="F506" t="s">
        <v>17</v>
      </c>
      <c r="G506">
        <v>103</v>
      </c>
      <c r="H506">
        <v>127</v>
      </c>
      <c r="I506">
        <v>88</v>
      </c>
      <c r="J506">
        <v>142</v>
      </c>
      <c r="K506" s="3">
        <v>207.76</v>
      </c>
      <c r="L506" s="3">
        <v>29501.919999999998</v>
      </c>
      <c r="M506" t="s">
        <v>24</v>
      </c>
    </row>
    <row r="507" spans="1:13">
      <c r="A507" t="s">
        <v>575</v>
      </c>
      <c r="B507" s="2">
        <v>46108</v>
      </c>
      <c r="C507" t="s">
        <v>26</v>
      </c>
      <c r="D507" t="s">
        <v>27</v>
      </c>
      <c r="E507" t="s">
        <v>28</v>
      </c>
      <c r="F507" t="s">
        <v>29</v>
      </c>
      <c r="G507">
        <v>210</v>
      </c>
      <c r="H507">
        <v>32</v>
      </c>
      <c r="I507">
        <v>191</v>
      </c>
      <c r="J507">
        <v>51</v>
      </c>
      <c r="K507" s="3">
        <v>125.26</v>
      </c>
      <c r="L507" s="3">
        <v>6388.26</v>
      </c>
      <c r="M507" t="s">
        <v>18</v>
      </c>
    </row>
    <row r="508" spans="1:13">
      <c r="A508" t="s">
        <v>576</v>
      </c>
      <c r="B508" s="2">
        <v>46038</v>
      </c>
      <c r="C508" t="s">
        <v>20</v>
      </c>
      <c r="D508" t="s">
        <v>21</v>
      </c>
      <c r="E508" t="s">
        <v>22</v>
      </c>
      <c r="F508" t="s">
        <v>23</v>
      </c>
      <c r="G508">
        <v>191</v>
      </c>
      <c r="H508">
        <v>109</v>
      </c>
      <c r="I508">
        <v>69</v>
      </c>
      <c r="J508">
        <v>231</v>
      </c>
      <c r="K508" s="3">
        <v>65.08</v>
      </c>
      <c r="L508" s="3">
        <v>15033.48</v>
      </c>
      <c r="M508" t="s">
        <v>18</v>
      </c>
    </row>
    <row r="509" spans="1:13">
      <c r="A509" t="s">
        <v>577</v>
      </c>
      <c r="B509" s="2">
        <v>46062</v>
      </c>
      <c r="C509" t="s">
        <v>35</v>
      </c>
      <c r="D509" t="s">
        <v>36</v>
      </c>
      <c r="E509" t="s">
        <v>37</v>
      </c>
      <c r="F509" t="s">
        <v>38</v>
      </c>
      <c r="G509">
        <v>274</v>
      </c>
      <c r="H509">
        <v>116</v>
      </c>
      <c r="I509">
        <v>130</v>
      </c>
      <c r="J509">
        <v>260</v>
      </c>
      <c r="K509" s="3">
        <v>222.13</v>
      </c>
      <c r="L509" s="3">
        <v>57753.8</v>
      </c>
      <c r="M509" t="s">
        <v>18</v>
      </c>
    </row>
    <row r="510" spans="1:13">
      <c r="A510" t="s">
        <v>578</v>
      </c>
      <c r="B510" s="2">
        <v>46108</v>
      </c>
      <c r="C510" t="s">
        <v>35</v>
      </c>
      <c r="D510" t="s">
        <v>36</v>
      </c>
      <c r="E510" t="s">
        <v>37</v>
      </c>
      <c r="F510" t="s">
        <v>38</v>
      </c>
      <c r="G510">
        <v>208</v>
      </c>
      <c r="H510">
        <v>40</v>
      </c>
      <c r="I510">
        <v>65</v>
      </c>
      <c r="J510">
        <v>183</v>
      </c>
      <c r="K510" s="3">
        <v>237.15</v>
      </c>
      <c r="L510" s="3">
        <v>43398.45</v>
      </c>
      <c r="M510" t="s">
        <v>24</v>
      </c>
    </row>
    <row r="511" spans="1:13">
      <c r="A511" t="s">
        <v>579</v>
      </c>
      <c r="B511" s="2">
        <v>46139</v>
      </c>
      <c r="C511" t="s">
        <v>20</v>
      </c>
      <c r="D511" t="s">
        <v>21</v>
      </c>
      <c r="E511" t="s">
        <v>22</v>
      </c>
      <c r="F511" t="s">
        <v>23</v>
      </c>
      <c r="G511">
        <v>399</v>
      </c>
      <c r="H511">
        <v>130</v>
      </c>
      <c r="I511">
        <v>0</v>
      </c>
      <c r="J511">
        <v>529</v>
      </c>
      <c r="K511" s="3">
        <v>60.1</v>
      </c>
      <c r="L511" s="3">
        <v>31792.9</v>
      </c>
      <c r="M511" t="s">
        <v>49</v>
      </c>
    </row>
    <row r="512" spans="1:13">
      <c r="A512" t="s">
        <v>580</v>
      </c>
      <c r="B512" s="2">
        <v>46046</v>
      </c>
      <c r="C512" t="s">
        <v>51</v>
      </c>
      <c r="D512" t="s">
        <v>52</v>
      </c>
      <c r="E512" t="s">
        <v>28</v>
      </c>
      <c r="F512" t="s">
        <v>33</v>
      </c>
      <c r="G512">
        <v>261</v>
      </c>
      <c r="H512">
        <v>93</v>
      </c>
      <c r="I512">
        <v>98</v>
      </c>
      <c r="J512">
        <v>256</v>
      </c>
      <c r="K512" s="3">
        <v>28.9</v>
      </c>
      <c r="L512" s="3">
        <v>7398.4</v>
      </c>
      <c r="M512" t="s">
        <v>49</v>
      </c>
    </row>
    <row r="513" spans="1:13">
      <c r="A513" t="s">
        <v>581</v>
      </c>
      <c r="B513" s="2">
        <v>46237</v>
      </c>
      <c r="C513" t="s">
        <v>86</v>
      </c>
      <c r="D513" t="s">
        <v>87</v>
      </c>
      <c r="E513" t="s">
        <v>43</v>
      </c>
      <c r="F513" t="s">
        <v>44</v>
      </c>
      <c r="G513">
        <v>134</v>
      </c>
      <c r="H513">
        <v>82</v>
      </c>
      <c r="I513">
        <v>63</v>
      </c>
      <c r="J513">
        <v>153</v>
      </c>
      <c r="K513" s="3">
        <v>9.7899999999999991</v>
      </c>
      <c r="L513" s="3">
        <v>1497.87</v>
      </c>
      <c r="M513" t="s">
        <v>24</v>
      </c>
    </row>
    <row r="514" spans="1:13">
      <c r="A514" t="s">
        <v>582</v>
      </c>
      <c r="B514" s="2">
        <v>46161</v>
      </c>
      <c r="C514" t="s">
        <v>66</v>
      </c>
      <c r="D514" t="s">
        <v>67</v>
      </c>
      <c r="E514" t="s">
        <v>583</v>
      </c>
      <c r="F514" t="s">
        <v>68</v>
      </c>
      <c r="G514">
        <v>442</v>
      </c>
      <c r="H514">
        <v>19</v>
      </c>
      <c r="I514">
        <v>146</v>
      </c>
      <c r="J514">
        <v>315</v>
      </c>
      <c r="K514" s="3">
        <v>62.27</v>
      </c>
      <c r="L514" s="3">
        <v>19615.05</v>
      </c>
      <c r="M514" t="s">
        <v>24</v>
      </c>
    </row>
    <row r="515" spans="1:13">
      <c r="A515" t="s">
        <v>584</v>
      </c>
      <c r="B515" s="2">
        <v>46114</v>
      </c>
      <c r="C515" t="s">
        <v>86</v>
      </c>
      <c r="D515" t="s">
        <v>87</v>
      </c>
      <c r="E515" t="s">
        <v>43</v>
      </c>
      <c r="F515" t="s">
        <v>44</v>
      </c>
      <c r="G515">
        <v>134</v>
      </c>
      <c r="H515">
        <v>132</v>
      </c>
      <c r="I515">
        <v>11</v>
      </c>
      <c r="J515">
        <v>255</v>
      </c>
      <c r="K515" s="3">
        <v>10.65</v>
      </c>
      <c r="L515" s="3">
        <v>2715.75</v>
      </c>
      <c r="M515" t="s">
        <v>49</v>
      </c>
    </row>
    <row r="516" spans="1:13">
      <c r="A516" t="s">
        <v>585</v>
      </c>
      <c r="B516" s="2">
        <v>46167</v>
      </c>
      <c r="C516" t="s">
        <v>55</v>
      </c>
      <c r="D516" t="s">
        <v>56</v>
      </c>
      <c r="E516" t="s">
        <v>28</v>
      </c>
      <c r="F516" t="s">
        <v>29</v>
      </c>
      <c r="G516">
        <v>416</v>
      </c>
      <c r="H516">
        <v>79</v>
      </c>
      <c r="I516">
        <v>83</v>
      </c>
      <c r="J516">
        <v>412</v>
      </c>
      <c r="K516" s="3">
        <v>170.91</v>
      </c>
      <c r="L516" s="3">
        <v>70414.92</v>
      </c>
      <c r="M516" t="s">
        <v>18</v>
      </c>
    </row>
    <row r="517" spans="1:13">
      <c r="A517" t="s">
        <v>586</v>
      </c>
      <c r="B517" s="2">
        <v>46211</v>
      </c>
      <c r="C517" t="s">
        <v>116</v>
      </c>
      <c r="D517" t="s">
        <v>117</v>
      </c>
      <c r="E517" t="s">
        <v>22</v>
      </c>
      <c r="F517" t="s">
        <v>23</v>
      </c>
      <c r="G517">
        <v>122</v>
      </c>
      <c r="H517">
        <v>74</v>
      </c>
      <c r="I517">
        <v>144</v>
      </c>
      <c r="J517">
        <v>52</v>
      </c>
      <c r="K517" s="3">
        <v>188.32</v>
      </c>
      <c r="L517" s="3">
        <v>9792.64</v>
      </c>
      <c r="M517" t="s">
        <v>24</v>
      </c>
    </row>
    <row r="518" spans="1:13">
      <c r="A518" t="s">
        <v>587</v>
      </c>
      <c r="B518" s="2">
        <v>46147</v>
      </c>
      <c r="C518" t="s">
        <v>80</v>
      </c>
      <c r="D518" t="s">
        <v>81</v>
      </c>
      <c r="E518" t="s">
        <v>28</v>
      </c>
      <c r="F518" t="s">
        <v>33</v>
      </c>
      <c r="G518">
        <v>257</v>
      </c>
      <c r="H518">
        <v>94</v>
      </c>
      <c r="I518">
        <v>151</v>
      </c>
      <c r="J518">
        <v>200</v>
      </c>
      <c r="K518" s="3">
        <v>5.16</v>
      </c>
      <c r="L518" s="3">
        <v>1032</v>
      </c>
      <c r="M518" t="s">
        <v>49</v>
      </c>
    </row>
    <row r="519" spans="1:13">
      <c r="A519" t="s">
        <v>588</v>
      </c>
      <c r="B519" s="2">
        <v>46148</v>
      </c>
      <c r="C519" t="s">
        <v>47</v>
      </c>
      <c r="D519" t="s">
        <v>48</v>
      </c>
      <c r="E519" t="s">
        <v>43</v>
      </c>
      <c r="F519" t="s">
        <v>44</v>
      </c>
      <c r="G519">
        <v>97</v>
      </c>
      <c r="H519">
        <v>1</v>
      </c>
      <c r="I519">
        <v>52</v>
      </c>
      <c r="J519">
        <v>46</v>
      </c>
      <c r="K519" s="3">
        <v>153.56</v>
      </c>
      <c r="L519" s="3">
        <v>7063.76</v>
      </c>
      <c r="M519" t="s">
        <v>24</v>
      </c>
    </row>
    <row r="520" spans="1:13">
      <c r="A520" t="s">
        <v>589</v>
      </c>
      <c r="B520" s="2">
        <v>46027</v>
      </c>
      <c r="C520" t="s">
        <v>41</v>
      </c>
      <c r="D520" t="s">
        <v>42</v>
      </c>
      <c r="E520" t="s">
        <v>43</v>
      </c>
      <c r="F520" t="s">
        <v>44</v>
      </c>
      <c r="G520">
        <v>191</v>
      </c>
      <c r="H520">
        <v>0</v>
      </c>
      <c r="I520">
        <v>168</v>
      </c>
      <c r="J520">
        <v>23</v>
      </c>
      <c r="K520" s="3">
        <v>140.15</v>
      </c>
      <c r="L520" s="3">
        <v>3223.45</v>
      </c>
      <c r="M520" t="s">
        <v>24</v>
      </c>
    </row>
    <row r="521" spans="1:13">
      <c r="A521" t="s">
        <v>590</v>
      </c>
      <c r="B521" s="2">
        <v>46076</v>
      </c>
      <c r="C521" t="s">
        <v>71</v>
      </c>
      <c r="D521" t="s">
        <v>72</v>
      </c>
      <c r="E521" t="s">
        <v>22</v>
      </c>
      <c r="F521" t="s">
        <v>68</v>
      </c>
      <c r="G521">
        <v>125</v>
      </c>
      <c r="H521">
        <v>135</v>
      </c>
      <c r="I521">
        <v>60</v>
      </c>
      <c r="J521">
        <v>200</v>
      </c>
      <c r="K521" s="3">
        <v>11.11</v>
      </c>
      <c r="L521" s="3">
        <v>2222</v>
      </c>
      <c r="M521" t="s">
        <v>49</v>
      </c>
    </row>
    <row r="522" spans="1:13">
      <c r="A522" t="s">
        <v>591</v>
      </c>
      <c r="B522" s="2">
        <v>46166</v>
      </c>
      <c r="C522" t="s">
        <v>77</v>
      </c>
      <c r="D522" t="s">
        <v>78</v>
      </c>
      <c r="E522" t="s">
        <v>16</v>
      </c>
      <c r="F522" t="s">
        <v>17</v>
      </c>
      <c r="G522">
        <v>67</v>
      </c>
      <c r="H522">
        <v>11</v>
      </c>
      <c r="I522">
        <v>29</v>
      </c>
      <c r="J522">
        <v>49</v>
      </c>
      <c r="K522" s="3">
        <v>220.16</v>
      </c>
      <c r="L522" s="3">
        <v>10787.84</v>
      </c>
      <c r="M522" t="s">
        <v>24</v>
      </c>
    </row>
    <row r="523" spans="1:13">
      <c r="A523" t="s">
        <v>592</v>
      </c>
      <c r="B523" s="2">
        <v>46213</v>
      </c>
      <c r="C523" t="s">
        <v>62</v>
      </c>
      <c r="D523" t="s">
        <v>63</v>
      </c>
      <c r="E523" t="s">
        <v>37</v>
      </c>
      <c r="F523" t="s">
        <v>38</v>
      </c>
      <c r="G523">
        <v>254</v>
      </c>
      <c r="H523">
        <v>21</v>
      </c>
      <c r="I523">
        <v>148</v>
      </c>
      <c r="J523">
        <v>127</v>
      </c>
      <c r="K523" s="3">
        <v>54.32</v>
      </c>
      <c r="L523" s="3">
        <v>6898.64</v>
      </c>
      <c r="M523" t="s">
        <v>49</v>
      </c>
    </row>
    <row r="524" spans="1:13">
      <c r="A524" t="s">
        <v>593</v>
      </c>
      <c r="B524" s="2">
        <v>46061</v>
      </c>
      <c r="C524" t="s">
        <v>136</v>
      </c>
      <c r="D524" t="s">
        <v>137</v>
      </c>
      <c r="E524" t="s">
        <v>37</v>
      </c>
      <c r="F524" t="s">
        <v>38</v>
      </c>
      <c r="G524">
        <v>323</v>
      </c>
      <c r="H524">
        <v>145</v>
      </c>
      <c r="I524">
        <v>15</v>
      </c>
      <c r="J524">
        <v>453</v>
      </c>
      <c r="K524" s="3">
        <v>10.24</v>
      </c>
      <c r="L524" s="3">
        <v>4638.72</v>
      </c>
      <c r="M524" t="s">
        <v>49</v>
      </c>
    </row>
    <row r="525" spans="1:13">
      <c r="A525" t="s">
        <v>594</v>
      </c>
      <c r="B525" s="2">
        <v>46172</v>
      </c>
      <c r="C525" t="s">
        <v>51</v>
      </c>
      <c r="D525" t="s">
        <v>52</v>
      </c>
      <c r="E525" t="s">
        <v>28</v>
      </c>
      <c r="F525" t="s">
        <v>33</v>
      </c>
      <c r="G525">
        <v>153</v>
      </c>
      <c r="H525">
        <v>80</v>
      </c>
      <c r="I525">
        <v>205</v>
      </c>
      <c r="J525">
        <v>28</v>
      </c>
      <c r="K525" s="3">
        <v>26.62</v>
      </c>
      <c r="L525" s="3">
        <v>745.36</v>
      </c>
      <c r="M525" t="s">
        <v>24</v>
      </c>
    </row>
    <row r="526" spans="1:13">
      <c r="A526" t="s">
        <v>595</v>
      </c>
      <c r="B526" s="2">
        <v>46185</v>
      </c>
      <c r="C526" t="s">
        <v>66</v>
      </c>
      <c r="D526" t="s">
        <v>67</v>
      </c>
      <c r="E526" t="s">
        <v>16</v>
      </c>
      <c r="F526" t="s">
        <v>68</v>
      </c>
      <c r="G526">
        <v>251</v>
      </c>
      <c r="H526">
        <v>69</v>
      </c>
      <c r="I526">
        <v>59</v>
      </c>
      <c r="J526">
        <v>261</v>
      </c>
      <c r="K526" s="3">
        <v>59.24</v>
      </c>
      <c r="L526" s="3">
        <v>15461.64</v>
      </c>
      <c r="M526" t="s">
        <v>49</v>
      </c>
    </row>
    <row r="527" spans="1:13">
      <c r="A527" t="s">
        <v>596</v>
      </c>
      <c r="B527" s="2">
        <v>46078</v>
      </c>
      <c r="C527" t="s">
        <v>77</v>
      </c>
      <c r="D527" t="s">
        <v>78</v>
      </c>
      <c r="E527" t="s">
        <v>16</v>
      </c>
      <c r="F527" t="s">
        <v>17</v>
      </c>
      <c r="G527">
        <v>99</v>
      </c>
      <c r="H527">
        <v>27</v>
      </c>
      <c r="I527">
        <v>21</v>
      </c>
      <c r="J527">
        <v>105</v>
      </c>
      <c r="K527" s="3">
        <v>205.33</v>
      </c>
      <c r="L527" s="3">
        <v>21559.65</v>
      </c>
      <c r="M527" t="s">
        <v>18</v>
      </c>
    </row>
    <row r="528" spans="1:13">
      <c r="A528" t="s">
        <v>597</v>
      </c>
      <c r="B528" s="2">
        <v>46084</v>
      </c>
      <c r="C528" t="s">
        <v>62</v>
      </c>
      <c r="D528" t="s">
        <v>63</v>
      </c>
      <c r="E528" t="s">
        <v>37</v>
      </c>
      <c r="F528" t="s">
        <v>38</v>
      </c>
      <c r="G528">
        <v>294</v>
      </c>
      <c r="H528">
        <v>91</v>
      </c>
      <c r="I528">
        <v>197</v>
      </c>
      <c r="J528">
        <v>188</v>
      </c>
      <c r="K528" s="3">
        <v>55.36</v>
      </c>
      <c r="L528" s="3">
        <v>10407.68</v>
      </c>
      <c r="M528" t="s">
        <v>18</v>
      </c>
    </row>
    <row r="529" spans="1:13">
      <c r="A529" t="s">
        <v>598</v>
      </c>
      <c r="B529" s="2">
        <v>46158</v>
      </c>
      <c r="C529" t="s">
        <v>55</v>
      </c>
      <c r="D529" t="s">
        <v>56</v>
      </c>
      <c r="E529" t="s">
        <v>28</v>
      </c>
      <c r="F529" t="s">
        <v>29</v>
      </c>
      <c r="G529">
        <v>456</v>
      </c>
      <c r="H529">
        <v>30</v>
      </c>
      <c r="I529">
        <v>23</v>
      </c>
      <c r="J529">
        <v>463</v>
      </c>
      <c r="K529" s="3">
        <v>172.99</v>
      </c>
      <c r="L529" s="3">
        <v>80094.37</v>
      </c>
      <c r="M529" t="s">
        <v>24</v>
      </c>
    </row>
    <row r="530" spans="1:13">
      <c r="A530" t="s">
        <v>599</v>
      </c>
      <c r="B530" s="2">
        <v>46043</v>
      </c>
      <c r="C530" t="s">
        <v>71</v>
      </c>
      <c r="D530" t="s">
        <v>72</v>
      </c>
      <c r="E530" t="s">
        <v>22</v>
      </c>
      <c r="F530" t="s">
        <v>68</v>
      </c>
      <c r="G530">
        <v>130</v>
      </c>
      <c r="H530">
        <v>83</v>
      </c>
      <c r="I530">
        <v>37</v>
      </c>
      <c r="J530">
        <v>176</v>
      </c>
      <c r="K530" s="3">
        <v>10.52</v>
      </c>
      <c r="L530" s="3">
        <v>1851.52</v>
      </c>
      <c r="M530" t="s">
        <v>49</v>
      </c>
    </row>
    <row r="531" spans="1:13">
      <c r="A531" t="s">
        <v>600</v>
      </c>
      <c r="B531" s="2">
        <v>46225</v>
      </c>
      <c r="C531" t="s">
        <v>41</v>
      </c>
      <c r="D531" t="s">
        <v>42</v>
      </c>
      <c r="E531" t="s">
        <v>43</v>
      </c>
      <c r="F531" t="s">
        <v>44</v>
      </c>
      <c r="G531">
        <v>282</v>
      </c>
      <c r="H531">
        <v>12</v>
      </c>
      <c r="I531">
        <v>173</v>
      </c>
      <c r="J531">
        <v>121</v>
      </c>
      <c r="K531" s="3">
        <v>138.38</v>
      </c>
      <c r="L531" s="3">
        <v>16743.98</v>
      </c>
      <c r="M531" t="s">
        <v>49</v>
      </c>
    </row>
    <row r="532" spans="1:13">
      <c r="A532" t="s">
        <v>601</v>
      </c>
      <c r="B532" s="2">
        <v>46230</v>
      </c>
      <c r="C532" t="s">
        <v>116</v>
      </c>
      <c r="D532" t="s">
        <v>117</v>
      </c>
      <c r="E532" t="s">
        <v>22</v>
      </c>
      <c r="F532" t="s">
        <v>23</v>
      </c>
      <c r="G532">
        <v>457</v>
      </c>
      <c r="H532">
        <v>115</v>
      </c>
      <c r="I532">
        <v>142</v>
      </c>
      <c r="J532">
        <v>430</v>
      </c>
      <c r="K532" s="3">
        <v>187.27</v>
      </c>
      <c r="L532" s="3">
        <v>80526.100000000006</v>
      </c>
      <c r="M532" t="s">
        <v>49</v>
      </c>
    </row>
    <row r="533" spans="1:13">
      <c r="A533" t="s">
        <v>602</v>
      </c>
      <c r="B533" s="2">
        <v>46259</v>
      </c>
      <c r="C533" t="s">
        <v>20</v>
      </c>
      <c r="D533" t="s">
        <v>21</v>
      </c>
      <c r="E533" t="s">
        <v>22</v>
      </c>
      <c r="F533" t="s">
        <v>23</v>
      </c>
      <c r="G533">
        <v>72</v>
      </c>
      <c r="H533">
        <v>35</v>
      </c>
      <c r="I533">
        <v>15</v>
      </c>
      <c r="J533">
        <v>92</v>
      </c>
      <c r="K533" s="3">
        <v>59.77</v>
      </c>
      <c r="L533" s="3">
        <v>5498.84</v>
      </c>
      <c r="M533" t="s">
        <v>49</v>
      </c>
    </row>
    <row r="534" spans="1:13">
      <c r="A534" t="s">
        <v>603</v>
      </c>
      <c r="B534" s="2">
        <v>46124</v>
      </c>
      <c r="C534" t="s">
        <v>77</v>
      </c>
      <c r="D534" t="s">
        <v>78</v>
      </c>
      <c r="E534" t="s">
        <v>16</v>
      </c>
      <c r="F534" t="s">
        <v>17</v>
      </c>
      <c r="G534">
        <v>441</v>
      </c>
      <c r="H534">
        <v>102</v>
      </c>
      <c r="I534">
        <v>95</v>
      </c>
      <c r="J534">
        <v>448</v>
      </c>
      <c r="K534" s="3">
        <v>213.17</v>
      </c>
      <c r="L534" s="3">
        <v>95500.160000000003</v>
      </c>
      <c r="M534" t="s">
        <v>24</v>
      </c>
    </row>
    <row r="535" spans="1:13">
      <c r="A535" t="s">
        <v>604</v>
      </c>
      <c r="B535" s="2">
        <v>46155</v>
      </c>
      <c r="C535" t="s">
        <v>31</v>
      </c>
      <c r="D535" t="s">
        <v>32</v>
      </c>
      <c r="E535" t="s">
        <v>28</v>
      </c>
      <c r="F535" t="s">
        <v>33</v>
      </c>
      <c r="G535">
        <v>489</v>
      </c>
      <c r="H535">
        <v>19</v>
      </c>
      <c r="I535">
        <v>5</v>
      </c>
      <c r="J535">
        <v>503</v>
      </c>
      <c r="K535" s="3">
        <v>85.48</v>
      </c>
      <c r="L535" s="3">
        <v>42996.44</v>
      </c>
      <c r="M535" t="s">
        <v>49</v>
      </c>
    </row>
    <row r="536" spans="1:13">
      <c r="A536" t="s">
        <v>605</v>
      </c>
      <c r="B536" s="2">
        <v>46088</v>
      </c>
      <c r="C536" t="s">
        <v>55</v>
      </c>
      <c r="D536" t="s">
        <v>56</v>
      </c>
      <c r="E536" t="s">
        <v>28</v>
      </c>
      <c r="F536" t="s">
        <v>29</v>
      </c>
      <c r="G536">
        <v>67</v>
      </c>
      <c r="H536">
        <v>84</v>
      </c>
      <c r="I536">
        <v>31</v>
      </c>
      <c r="J536">
        <v>120</v>
      </c>
      <c r="K536" s="3">
        <v>169.63</v>
      </c>
      <c r="L536" s="3">
        <v>20355.599999999999</v>
      </c>
      <c r="M536" t="s">
        <v>18</v>
      </c>
    </row>
    <row r="537" spans="1:13">
      <c r="A537" t="s">
        <v>606</v>
      </c>
      <c r="B537" s="2">
        <v>46109</v>
      </c>
      <c r="C537" t="s">
        <v>86</v>
      </c>
      <c r="D537" t="s">
        <v>87</v>
      </c>
      <c r="E537" t="s">
        <v>43</v>
      </c>
      <c r="F537" t="s">
        <v>44</v>
      </c>
      <c r="G537">
        <v>493</v>
      </c>
      <c r="H537">
        <v>146</v>
      </c>
      <c r="I537">
        <v>110</v>
      </c>
      <c r="J537">
        <v>529</v>
      </c>
      <c r="K537" s="3">
        <v>10.44</v>
      </c>
      <c r="L537" s="3">
        <v>5522.76</v>
      </c>
      <c r="M537" t="s">
        <v>18</v>
      </c>
    </row>
    <row r="538" spans="1:13">
      <c r="A538" t="s">
        <v>607</v>
      </c>
      <c r="B538" s="2">
        <v>46038</v>
      </c>
      <c r="C538" t="s">
        <v>124</v>
      </c>
      <c r="D538" t="s">
        <v>125</v>
      </c>
      <c r="E538" t="s">
        <v>22</v>
      </c>
      <c r="F538" t="s">
        <v>23</v>
      </c>
      <c r="G538">
        <v>215</v>
      </c>
      <c r="H538">
        <v>174</v>
      </c>
      <c r="I538">
        <v>109</v>
      </c>
      <c r="J538">
        <v>280</v>
      </c>
      <c r="K538" s="3">
        <v>145.88999999999999</v>
      </c>
      <c r="L538" s="3">
        <v>40849.199999999997</v>
      </c>
      <c r="M538" t="s">
        <v>49</v>
      </c>
    </row>
    <row r="539" spans="1:13">
      <c r="A539" t="s">
        <v>608</v>
      </c>
      <c r="B539" s="2">
        <v>46163</v>
      </c>
      <c r="C539" t="s">
        <v>14</v>
      </c>
      <c r="D539" t="s">
        <v>15</v>
      </c>
      <c r="E539" t="s">
        <v>16</v>
      </c>
      <c r="F539" t="s">
        <v>17</v>
      </c>
      <c r="G539">
        <v>163</v>
      </c>
      <c r="H539">
        <v>114</v>
      </c>
      <c r="I539">
        <v>38</v>
      </c>
      <c r="J539">
        <v>239</v>
      </c>
      <c r="K539" s="3">
        <v>176.27</v>
      </c>
      <c r="L539" s="3">
        <v>42128.53</v>
      </c>
      <c r="M539" t="s">
        <v>24</v>
      </c>
    </row>
    <row r="540" spans="1:13">
      <c r="A540" t="s">
        <v>609</v>
      </c>
      <c r="B540" s="2">
        <v>46148</v>
      </c>
      <c r="C540" t="s">
        <v>80</v>
      </c>
      <c r="D540" t="s">
        <v>81</v>
      </c>
      <c r="E540" t="s">
        <v>28</v>
      </c>
      <c r="F540" t="s">
        <v>33</v>
      </c>
      <c r="G540">
        <v>351</v>
      </c>
      <c r="H540">
        <v>75</v>
      </c>
      <c r="I540">
        <v>127</v>
      </c>
      <c r="J540">
        <v>299</v>
      </c>
      <c r="K540" s="3">
        <v>4.7300000000000004</v>
      </c>
      <c r="L540" s="3">
        <v>1414.27</v>
      </c>
      <c r="M540" t="s">
        <v>24</v>
      </c>
    </row>
    <row r="541" spans="1:13">
      <c r="A541" t="s">
        <v>610</v>
      </c>
      <c r="B541" s="2">
        <v>46054</v>
      </c>
      <c r="C541" t="s">
        <v>124</v>
      </c>
      <c r="D541" t="s">
        <v>125</v>
      </c>
      <c r="E541" t="s">
        <v>22</v>
      </c>
      <c r="F541" t="s">
        <v>23</v>
      </c>
      <c r="G541">
        <v>64</v>
      </c>
      <c r="H541">
        <v>71</v>
      </c>
      <c r="I541">
        <v>98</v>
      </c>
      <c r="J541">
        <v>37</v>
      </c>
      <c r="K541" s="3">
        <v>145.01</v>
      </c>
      <c r="L541" s="3">
        <v>5365.37</v>
      </c>
      <c r="M541" t="s">
        <v>49</v>
      </c>
    </row>
    <row r="542" spans="1:13">
      <c r="A542" t="s">
        <v>611</v>
      </c>
      <c r="B542" s="2">
        <v>46150</v>
      </c>
      <c r="C542" t="s">
        <v>59</v>
      </c>
      <c r="D542" t="s">
        <v>60</v>
      </c>
      <c r="E542" t="s">
        <v>16</v>
      </c>
      <c r="F542" t="s">
        <v>17</v>
      </c>
      <c r="G542">
        <v>342</v>
      </c>
      <c r="H542">
        <v>139</v>
      </c>
      <c r="I542">
        <v>203</v>
      </c>
      <c r="J542">
        <v>278</v>
      </c>
      <c r="K542" s="3">
        <v>59.14</v>
      </c>
      <c r="L542" s="3">
        <v>16440.919999999998</v>
      </c>
      <c r="M542" t="s">
        <v>18</v>
      </c>
    </row>
    <row r="543" spans="1:13">
      <c r="A543" t="s">
        <v>612</v>
      </c>
      <c r="B543" s="2">
        <v>46268</v>
      </c>
      <c r="C543" t="s">
        <v>41</v>
      </c>
      <c r="D543" t="s">
        <v>42</v>
      </c>
      <c r="E543" t="s">
        <v>43</v>
      </c>
      <c r="F543" t="s">
        <v>44</v>
      </c>
      <c r="G543">
        <v>298</v>
      </c>
      <c r="H543">
        <v>124</v>
      </c>
      <c r="I543">
        <v>88</v>
      </c>
      <c r="J543">
        <v>334</v>
      </c>
      <c r="K543" s="3">
        <v>152.41999999999999</v>
      </c>
      <c r="L543" s="3">
        <v>50908.28</v>
      </c>
      <c r="M543" t="s">
        <v>24</v>
      </c>
    </row>
    <row r="544" spans="1:13">
      <c r="A544" t="s">
        <v>613</v>
      </c>
      <c r="B544" s="2">
        <v>46221</v>
      </c>
      <c r="C544" t="s">
        <v>66</v>
      </c>
      <c r="D544" t="s">
        <v>67</v>
      </c>
      <c r="E544" t="s">
        <v>16</v>
      </c>
      <c r="F544" t="s">
        <v>68</v>
      </c>
      <c r="G544">
        <v>158</v>
      </c>
      <c r="H544">
        <v>46</v>
      </c>
      <c r="I544">
        <v>6</v>
      </c>
      <c r="J544">
        <v>198</v>
      </c>
      <c r="K544" s="3">
        <v>61.72</v>
      </c>
      <c r="L544" s="3">
        <v>12220.56</v>
      </c>
      <c r="M544" t="s">
        <v>49</v>
      </c>
    </row>
    <row r="545" spans="1:13">
      <c r="A545" t="s">
        <v>614</v>
      </c>
      <c r="B545" s="2">
        <v>46166</v>
      </c>
      <c r="C545" t="s">
        <v>116</v>
      </c>
      <c r="D545" t="s">
        <v>117</v>
      </c>
      <c r="E545" t="s">
        <v>22</v>
      </c>
      <c r="F545" t="s">
        <v>23</v>
      </c>
      <c r="G545">
        <v>49</v>
      </c>
      <c r="H545">
        <v>120</v>
      </c>
      <c r="I545">
        <v>135</v>
      </c>
      <c r="J545">
        <v>34</v>
      </c>
      <c r="K545" s="3">
        <v>176.01</v>
      </c>
      <c r="L545" s="3">
        <v>5984.34</v>
      </c>
      <c r="M545" t="s">
        <v>24</v>
      </c>
    </row>
    <row r="546" spans="1:13">
      <c r="A546" t="s">
        <v>615</v>
      </c>
      <c r="B546" s="2">
        <v>46104</v>
      </c>
      <c r="C546" t="s">
        <v>51</v>
      </c>
      <c r="D546" t="s">
        <v>52</v>
      </c>
      <c r="E546" t="s">
        <v>28</v>
      </c>
      <c r="F546" t="s">
        <v>33</v>
      </c>
      <c r="G546">
        <v>71</v>
      </c>
      <c r="H546">
        <v>63</v>
      </c>
      <c r="I546">
        <v>61</v>
      </c>
      <c r="J546">
        <v>73</v>
      </c>
      <c r="K546" s="3">
        <v>26.07</v>
      </c>
      <c r="L546" s="3">
        <v>1903.11</v>
      </c>
      <c r="M546" t="s">
        <v>24</v>
      </c>
    </row>
    <row r="547" spans="1:13">
      <c r="A547" t="s">
        <v>616</v>
      </c>
      <c r="B547" s="2">
        <v>46135</v>
      </c>
      <c r="C547" t="s">
        <v>86</v>
      </c>
      <c r="D547" t="s">
        <v>87</v>
      </c>
      <c r="E547" t="s">
        <v>43</v>
      </c>
      <c r="F547" t="s">
        <v>44</v>
      </c>
      <c r="G547">
        <v>314</v>
      </c>
      <c r="H547">
        <v>99</v>
      </c>
      <c r="I547">
        <v>90</v>
      </c>
      <c r="J547">
        <v>323</v>
      </c>
      <c r="K547" s="3">
        <v>10.62</v>
      </c>
      <c r="L547" s="3">
        <v>3430.26</v>
      </c>
      <c r="M547" t="s">
        <v>49</v>
      </c>
    </row>
    <row r="548" spans="1:13">
      <c r="A548" t="s">
        <v>617</v>
      </c>
      <c r="B548" s="2">
        <v>46144</v>
      </c>
      <c r="C548" t="s">
        <v>14</v>
      </c>
      <c r="D548" t="s">
        <v>15</v>
      </c>
      <c r="E548" t="s">
        <v>16</v>
      </c>
      <c r="F548" t="s">
        <v>17</v>
      </c>
      <c r="G548">
        <v>323</v>
      </c>
      <c r="H548">
        <v>81</v>
      </c>
      <c r="I548">
        <v>206</v>
      </c>
      <c r="J548">
        <v>198</v>
      </c>
      <c r="K548" s="3">
        <v>197.7</v>
      </c>
      <c r="L548" s="3">
        <v>39144.6</v>
      </c>
      <c r="M548" t="s">
        <v>18</v>
      </c>
    </row>
    <row r="549" spans="1:13">
      <c r="A549" t="s">
        <v>618</v>
      </c>
      <c r="B549" s="2">
        <v>46037</v>
      </c>
      <c r="C549" t="s">
        <v>35</v>
      </c>
      <c r="D549" t="s">
        <v>36</v>
      </c>
      <c r="E549" t="s">
        <v>37</v>
      </c>
      <c r="F549" t="s">
        <v>38</v>
      </c>
      <c r="G549">
        <v>380</v>
      </c>
      <c r="H549">
        <v>179</v>
      </c>
      <c r="I549">
        <v>90</v>
      </c>
      <c r="J549">
        <v>469</v>
      </c>
      <c r="K549" s="3">
        <v>243.48</v>
      </c>
      <c r="L549" s="3">
        <v>114192.12</v>
      </c>
      <c r="M549" t="s">
        <v>24</v>
      </c>
    </row>
    <row r="550" spans="1:13">
      <c r="A550" t="s">
        <v>619</v>
      </c>
      <c r="B550" s="2">
        <v>46119</v>
      </c>
      <c r="C550" t="s">
        <v>77</v>
      </c>
      <c r="D550" t="s">
        <v>78</v>
      </c>
      <c r="E550" t="s">
        <v>16</v>
      </c>
      <c r="F550" t="s">
        <v>17</v>
      </c>
      <c r="G550">
        <v>448</v>
      </c>
      <c r="H550">
        <v>126</v>
      </c>
      <c r="I550">
        <v>138</v>
      </c>
      <c r="J550">
        <v>436</v>
      </c>
      <c r="K550" s="3">
        <v>200.68</v>
      </c>
      <c r="L550" s="3">
        <v>87496.48</v>
      </c>
      <c r="M550" t="s">
        <v>18</v>
      </c>
    </row>
    <row r="551" spans="1:13">
      <c r="A551" t="s">
        <v>620</v>
      </c>
      <c r="B551" s="2">
        <v>46069</v>
      </c>
      <c r="C551" t="s">
        <v>86</v>
      </c>
      <c r="D551" t="s">
        <v>87</v>
      </c>
      <c r="E551" t="s">
        <v>43</v>
      </c>
      <c r="F551" t="s">
        <v>44</v>
      </c>
      <c r="G551">
        <v>48</v>
      </c>
      <c r="H551">
        <v>59</v>
      </c>
      <c r="I551">
        <v>77</v>
      </c>
      <c r="J551">
        <v>30</v>
      </c>
      <c r="K551" s="3">
        <v>9.48</v>
      </c>
      <c r="L551" s="3">
        <v>284.39999999999998</v>
      </c>
      <c r="M551" t="s">
        <v>24</v>
      </c>
    </row>
    <row r="552" spans="1:13">
      <c r="A552" t="s">
        <v>621</v>
      </c>
      <c r="B552" s="2">
        <v>46023</v>
      </c>
      <c r="C552" t="s">
        <v>124</v>
      </c>
      <c r="D552" t="s">
        <v>125</v>
      </c>
      <c r="E552" t="s">
        <v>22</v>
      </c>
      <c r="F552" t="s">
        <v>23</v>
      </c>
      <c r="G552">
        <v>189</v>
      </c>
      <c r="H552">
        <v>157</v>
      </c>
      <c r="I552">
        <v>51</v>
      </c>
      <c r="J552">
        <v>295</v>
      </c>
      <c r="K552" s="3">
        <v>161.5</v>
      </c>
      <c r="L552" s="3">
        <v>47642.5</v>
      </c>
      <c r="M552" t="s">
        <v>18</v>
      </c>
    </row>
    <row r="553" spans="1:13">
      <c r="A553" t="s">
        <v>622</v>
      </c>
      <c r="B553" s="2">
        <v>46188</v>
      </c>
      <c r="C553" t="s">
        <v>14</v>
      </c>
      <c r="D553" t="s">
        <v>15</v>
      </c>
      <c r="E553" t="s">
        <v>16</v>
      </c>
      <c r="F553" t="s">
        <v>17</v>
      </c>
      <c r="G553">
        <v>50</v>
      </c>
      <c r="H553">
        <v>5</v>
      </c>
      <c r="I553">
        <v>9</v>
      </c>
      <c r="J553">
        <v>46</v>
      </c>
      <c r="K553" s="3">
        <v>193.08</v>
      </c>
      <c r="L553" s="3">
        <v>8881.68</v>
      </c>
      <c r="M553" t="s">
        <v>49</v>
      </c>
    </row>
    <row r="554" spans="1:13">
      <c r="A554" t="s">
        <v>623</v>
      </c>
      <c r="B554" s="2">
        <v>46292</v>
      </c>
      <c r="C554" t="s">
        <v>20</v>
      </c>
      <c r="D554" t="s">
        <v>21</v>
      </c>
      <c r="E554" t="s">
        <v>22</v>
      </c>
      <c r="F554" t="s">
        <v>23</v>
      </c>
      <c r="G554">
        <v>460</v>
      </c>
      <c r="H554">
        <v>93</v>
      </c>
      <c r="I554">
        <v>18</v>
      </c>
      <c r="J554">
        <v>535</v>
      </c>
      <c r="K554" s="3">
        <v>63.52</v>
      </c>
      <c r="L554" s="3">
        <v>33983.199999999997</v>
      </c>
      <c r="M554" t="s">
        <v>24</v>
      </c>
    </row>
    <row r="555" spans="1:13">
      <c r="A555" t="s">
        <v>624</v>
      </c>
      <c r="B555" s="2">
        <v>46074</v>
      </c>
      <c r="C555" t="s">
        <v>136</v>
      </c>
      <c r="D555" t="s">
        <v>137</v>
      </c>
      <c r="E555" t="s">
        <v>37</v>
      </c>
      <c r="F555" t="s">
        <v>38</v>
      </c>
      <c r="G555">
        <v>192</v>
      </c>
      <c r="H555">
        <v>77</v>
      </c>
      <c r="I555">
        <v>82</v>
      </c>
      <c r="J555">
        <v>187</v>
      </c>
      <c r="K555" s="3">
        <v>9.75</v>
      </c>
      <c r="L555" s="3">
        <v>1823.25</v>
      </c>
      <c r="M555" t="s">
        <v>49</v>
      </c>
    </row>
    <row r="556" spans="1:13">
      <c r="A556" t="s">
        <v>625</v>
      </c>
      <c r="B556" s="2">
        <v>46272</v>
      </c>
      <c r="C556" t="s">
        <v>62</v>
      </c>
      <c r="D556" t="s">
        <v>63</v>
      </c>
      <c r="E556" t="s">
        <v>37</v>
      </c>
      <c r="F556" t="s">
        <v>38</v>
      </c>
      <c r="G556">
        <v>352</v>
      </c>
      <c r="H556">
        <v>81</v>
      </c>
      <c r="I556">
        <v>44</v>
      </c>
      <c r="J556">
        <v>389</v>
      </c>
      <c r="K556" s="3">
        <v>60</v>
      </c>
      <c r="L556" s="3">
        <v>23340</v>
      </c>
      <c r="M556" t="s">
        <v>24</v>
      </c>
    </row>
    <row r="557" spans="1:13">
      <c r="A557" t="s">
        <v>626</v>
      </c>
      <c r="B557" s="2">
        <v>46205</v>
      </c>
      <c r="C557" t="s">
        <v>80</v>
      </c>
      <c r="D557" t="s">
        <v>81</v>
      </c>
      <c r="E557" t="s">
        <v>28</v>
      </c>
      <c r="F557" t="s">
        <v>33</v>
      </c>
      <c r="G557">
        <v>134</v>
      </c>
      <c r="H557">
        <v>170</v>
      </c>
      <c r="I557">
        <v>150</v>
      </c>
      <c r="J557">
        <v>154</v>
      </c>
      <c r="K557" s="3">
        <v>5.04</v>
      </c>
      <c r="L557" s="3">
        <v>776.16</v>
      </c>
      <c r="M557" t="s">
        <v>18</v>
      </c>
    </row>
    <row r="558" spans="1:13">
      <c r="A558" t="s">
        <v>627</v>
      </c>
      <c r="B558" s="2">
        <v>46173</v>
      </c>
      <c r="C558" t="s">
        <v>71</v>
      </c>
      <c r="D558" t="s">
        <v>72</v>
      </c>
      <c r="E558" t="s">
        <v>22</v>
      </c>
      <c r="F558" t="s">
        <v>68</v>
      </c>
      <c r="G558">
        <v>85</v>
      </c>
      <c r="H558">
        <v>45</v>
      </c>
      <c r="I558">
        <v>0</v>
      </c>
      <c r="J558">
        <v>130</v>
      </c>
      <c r="K558" s="3">
        <v>12.06</v>
      </c>
      <c r="L558" s="3">
        <v>1567.8</v>
      </c>
      <c r="M558" t="s">
        <v>24</v>
      </c>
    </row>
    <row r="559" spans="1:13">
      <c r="A559" t="s">
        <v>628</v>
      </c>
      <c r="B559" s="2">
        <v>46039</v>
      </c>
      <c r="C559" t="s">
        <v>136</v>
      </c>
      <c r="D559" t="s">
        <v>137</v>
      </c>
      <c r="E559" t="s">
        <v>37</v>
      </c>
      <c r="F559" t="s">
        <v>38</v>
      </c>
      <c r="G559">
        <v>113</v>
      </c>
      <c r="H559">
        <v>154</v>
      </c>
      <c r="I559">
        <v>81</v>
      </c>
      <c r="J559">
        <v>186</v>
      </c>
      <c r="K559" s="3">
        <v>11.05</v>
      </c>
      <c r="L559" s="3">
        <v>2055.3000000000002</v>
      </c>
      <c r="M559" t="s">
        <v>24</v>
      </c>
    </row>
    <row r="560" spans="1:13">
      <c r="A560" t="s">
        <v>629</v>
      </c>
      <c r="B560" s="2">
        <v>46076</v>
      </c>
      <c r="C560" t="s">
        <v>51</v>
      </c>
      <c r="D560" t="s">
        <v>52</v>
      </c>
      <c r="E560" t="s">
        <v>28</v>
      </c>
      <c r="F560" t="s">
        <v>33</v>
      </c>
      <c r="G560">
        <v>499</v>
      </c>
      <c r="H560">
        <v>127</v>
      </c>
      <c r="I560">
        <v>36</v>
      </c>
      <c r="J560">
        <v>590</v>
      </c>
      <c r="K560" s="3">
        <v>26.35</v>
      </c>
      <c r="L560" s="3">
        <v>15546.5</v>
      </c>
      <c r="M560" t="s">
        <v>49</v>
      </c>
    </row>
    <row r="561" spans="1:13">
      <c r="A561" t="s">
        <v>630</v>
      </c>
      <c r="B561" s="2">
        <v>46200</v>
      </c>
      <c r="C561" t="s">
        <v>51</v>
      </c>
      <c r="D561" t="s">
        <v>52</v>
      </c>
      <c r="E561" t="s">
        <v>28</v>
      </c>
      <c r="F561" t="s">
        <v>33</v>
      </c>
      <c r="G561">
        <v>183</v>
      </c>
      <c r="H561">
        <v>42</v>
      </c>
      <c r="I561">
        <v>162</v>
      </c>
      <c r="J561">
        <v>63</v>
      </c>
      <c r="K561" s="3">
        <v>28.75</v>
      </c>
      <c r="L561" s="3">
        <v>1811.25</v>
      </c>
      <c r="M561" t="s">
        <v>49</v>
      </c>
    </row>
    <row r="562" spans="1:13">
      <c r="A562" t="s">
        <v>631</v>
      </c>
      <c r="B562" s="2">
        <v>46251</v>
      </c>
      <c r="C562" t="s">
        <v>66</v>
      </c>
      <c r="D562" t="s">
        <v>67</v>
      </c>
      <c r="E562" t="s">
        <v>16</v>
      </c>
      <c r="F562" t="s">
        <v>68</v>
      </c>
      <c r="G562">
        <v>25</v>
      </c>
      <c r="H562">
        <v>67</v>
      </c>
      <c r="I562">
        <v>26</v>
      </c>
      <c r="J562">
        <v>66</v>
      </c>
      <c r="K562" s="3">
        <v>61.02</v>
      </c>
      <c r="L562" s="3">
        <v>4027.32</v>
      </c>
      <c r="M562" t="s">
        <v>49</v>
      </c>
    </row>
    <row r="563" spans="1:13">
      <c r="A563" t="s">
        <v>632</v>
      </c>
      <c r="B563" s="2">
        <v>46154</v>
      </c>
      <c r="C563" t="s">
        <v>41</v>
      </c>
      <c r="D563" t="s">
        <v>42</v>
      </c>
      <c r="E563" t="s">
        <v>43</v>
      </c>
      <c r="F563" t="s">
        <v>44</v>
      </c>
      <c r="G563">
        <v>422</v>
      </c>
      <c r="H563">
        <v>27</v>
      </c>
      <c r="I563">
        <v>184</v>
      </c>
      <c r="J563">
        <v>265</v>
      </c>
      <c r="K563" s="3">
        <v>131.57</v>
      </c>
      <c r="L563" s="3">
        <v>34866.050000000003</v>
      </c>
      <c r="M563" t="s">
        <v>18</v>
      </c>
    </row>
    <row r="564" spans="1:13">
      <c r="A564" t="s">
        <v>633</v>
      </c>
      <c r="B564" s="2">
        <v>46237</v>
      </c>
      <c r="C564" t="s">
        <v>55</v>
      </c>
      <c r="D564" t="s">
        <v>56</v>
      </c>
      <c r="E564" t="s">
        <v>28</v>
      </c>
      <c r="F564" t="s">
        <v>29</v>
      </c>
      <c r="G564">
        <v>105</v>
      </c>
      <c r="H564">
        <v>105</v>
      </c>
      <c r="I564">
        <v>126</v>
      </c>
      <c r="J564">
        <v>84</v>
      </c>
      <c r="K564" s="3">
        <v>194.2</v>
      </c>
      <c r="L564" s="3">
        <v>16312.8</v>
      </c>
      <c r="M564" t="s">
        <v>18</v>
      </c>
    </row>
    <row r="565" spans="1:13">
      <c r="A565" t="s">
        <v>634</v>
      </c>
      <c r="B565" s="2">
        <v>46215</v>
      </c>
      <c r="C565" t="s">
        <v>47</v>
      </c>
      <c r="D565" t="s">
        <v>48</v>
      </c>
      <c r="E565" t="s">
        <v>43</v>
      </c>
      <c r="F565" t="s">
        <v>44</v>
      </c>
      <c r="G565">
        <v>71</v>
      </c>
      <c r="H565">
        <v>122</v>
      </c>
      <c r="I565">
        <v>147</v>
      </c>
      <c r="J565">
        <v>46</v>
      </c>
      <c r="K565" s="3">
        <v>170.24</v>
      </c>
      <c r="L565" s="3">
        <v>7831.04</v>
      </c>
      <c r="M565" t="s">
        <v>24</v>
      </c>
    </row>
    <row r="566" spans="1:13">
      <c r="A566" t="s">
        <v>635</v>
      </c>
      <c r="B566" s="2">
        <v>46106</v>
      </c>
      <c r="C566" t="s">
        <v>51</v>
      </c>
      <c r="D566" t="s">
        <v>52</v>
      </c>
      <c r="E566" t="s">
        <v>28</v>
      </c>
      <c r="F566" t="s">
        <v>33</v>
      </c>
      <c r="G566">
        <v>251</v>
      </c>
      <c r="H566">
        <v>18</v>
      </c>
      <c r="I566">
        <v>204</v>
      </c>
      <c r="J566">
        <v>65</v>
      </c>
      <c r="K566" s="3">
        <v>28.58</v>
      </c>
      <c r="L566" s="3">
        <v>1857.7</v>
      </c>
      <c r="M566" t="s">
        <v>18</v>
      </c>
    </row>
    <row r="567" spans="1:13">
      <c r="A567" t="s">
        <v>636</v>
      </c>
      <c r="B567" s="2">
        <v>46186</v>
      </c>
      <c r="C567" t="s">
        <v>116</v>
      </c>
      <c r="D567" t="s">
        <v>117</v>
      </c>
      <c r="E567" t="s">
        <v>22</v>
      </c>
      <c r="F567" t="s">
        <v>23</v>
      </c>
      <c r="G567">
        <v>153</v>
      </c>
      <c r="H567">
        <v>26</v>
      </c>
      <c r="I567">
        <v>18</v>
      </c>
      <c r="J567">
        <v>161</v>
      </c>
      <c r="K567" s="3">
        <v>175.56</v>
      </c>
      <c r="L567" s="3">
        <v>28265.16</v>
      </c>
      <c r="M567" t="s">
        <v>18</v>
      </c>
    </row>
    <row r="568" spans="1:13">
      <c r="A568" t="s">
        <v>637</v>
      </c>
      <c r="B568" s="2">
        <v>46061</v>
      </c>
      <c r="C568" t="s">
        <v>14</v>
      </c>
      <c r="D568" t="s">
        <v>15</v>
      </c>
      <c r="E568" t="s">
        <v>16</v>
      </c>
      <c r="F568" t="s">
        <v>17</v>
      </c>
      <c r="G568">
        <v>300</v>
      </c>
      <c r="H568">
        <v>23</v>
      </c>
      <c r="I568">
        <v>86</v>
      </c>
      <c r="J568">
        <v>237</v>
      </c>
      <c r="K568" s="3">
        <v>193.31</v>
      </c>
      <c r="L568" s="3">
        <v>45814.47</v>
      </c>
      <c r="M568" t="s">
        <v>24</v>
      </c>
    </row>
    <row r="569" spans="1:13">
      <c r="A569" t="s">
        <v>638</v>
      </c>
      <c r="B569" s="2">
        <v>46038</v>
      </c>
      <c r="C569" t="s">
        <v>124</v>
      </c>
      <c r="D569" t="s">
        <v>125</v>
      </c>
      <c r="E569" t="s">
        <v>22</v>
      </c>
      <c r="F569" t="s">
        <v>23</v>
      </c>
      <c r="G569">
        <v>240</v>
      </c>
      <c r="H569">
        <v>167</v>
      </c>
      <c r="I569">
        <v>42</v>
      </c>
      <c r="J569">
        <v>365</v>
      </c>
      <c r="K569" s="3">
        <v>156.59</v>
      </c>
      <c r="L569" s="3">
        <v>57155.35</v>
      </c>
      <c r="M569" t="s">
        <v>18</v>
      </c>
    </row>
    <row r="570" spans="1:13">
      <c r="A570" t="s">
        <v>639</v>
      </c>
      <c r="B570" s="2">
        <v>46050</v>
      </c>
      <c r="C570" t="s">
        <v>14</v>
      </c>
      <c r="D570" t="s">
        <v>15</v>
      </c>
      <c r="E570" t="s">
        <v>16</v>
      </c>
      <c r="F570" t="s">
        <v>17</v>
      </c>
      <c r="G570">
        <v>71</v>
      </c>
      <c r="H570">
        <v>84</v>
      </c>
      <c r="I570">
        <v>52</v>
      </c>
      <c r="J570">
        <v>103</v>
      </c>
      <c r="K570" s="3">
        <v>204.9</v>
      </c>
      <c r="L570" s="3">
        <v>21104.7</v>
      </c>
      <c r="M570" t="s">
        <v>18</v>
      </c>
    </row>
    <row r="571" spans="1:13">
      <c r="A571" t="s">
        <v>640</v>
      </c>
      <c r="B571" s="2">
        <v>46158</v>
      </c>
      <c r="C571" t="s">
        <v>47</v>
      </c>
      <c r="D571" t="s">
        <v>48</v>
      </c>
      <c r="E571" t="s">
        <v>43</v>
      </c>
      <c r="F571" t="s">
        <v>44</v>
      </c>
      <c r="G571">
        <v>358</v>
      </c>
      <c r="H571">
        <v>72</v>
      </c>
      <c r="I571">
        <v>76</v>
      </c>
      <c r="J571">
        <v>354</v>
      </c>
      <c r="K571" s="3">
        <v>159.25</v>
      </c>
      <c r="L571" s="3">
        <v>56374.5</v>
      </c>
      <c r="M571" t="s">
        <v>49</v>
      </c>
    </row>
    <row r="572" spans="1:13">
      <c r="A572" t="s">
        <v>641</v>
      </c>
      <c r="B572" s="2">
        <v>46274</v>
      </c>
      <c r="C572" t="s">
        <v>136</v>
      </c>
      <c r="D572" t="s">
        <v>137</v>
      </c>
      <c r="E572" t="s">
        <v>37</v>
      </c>
      <c r="F572" t="s">
        <v>38</v>
      </c>
      <c r="G572">
        <v>98</v>
      </c>
      <c r="H572">
        <v>13</v>
      </c>
      <c r="I572">
        <v>46</v>
      </c>
      <c r="J572">
        <v>65</v>
      </c>
      <c r="K572" s="3">
        <v>9.5299999999999994</v>
      </c>
      <c r="L572" s="3">
        <v>619.45000000000005</v>
      </c>
      <c r="M572" t="s">
        <v>49</v>
      </c>
    </row>
    <row r="573" spans="1:13">
      <c r="A573" t="s">
        <v>642</v>
      </c>
      <c r="B573" s="2">
        <v>46268</v>
      </c>
      <c r="C573" t="s">
        <v>71</v>
      </c>
      <c r="D573" t="s">
        <v>72</v>
      </c>
      <c r="E573" t="s">
        <v>22</v>
      </c>
      <c r="F573" t="s">
        <v>68</v>
      </c>
      <c r="G573">
        <v>122</v>
      </c>
      <c r="H573">
        <v>24</v>
      </c>
      <c r="I573">
        <v>6</v>
      </c>
      <c r="J573">
        <v>140</v>
      </c>
      <c r="K573" s="3">
        <v>10.73</v>
      </c>
      <c r="L573" s="3">
        <v>1502.2</v>
      </c>
      <c r="M573" t="s">
        <v>24</v>
      </c>
    </row>
    <row r="574" spans="1:13">
      <c r="A574" t="s">
        <v>643</v>
      </c>
      <c r="B574" s="2">
        <v>46064</v>
      </c>
      <c r="C574" t="s">
        <v>71</v>
      </c>
      <c r="D574" t="s">
        <v>72</v>
      </c>
      <c r="E574" t="s">
        <v>22</v>
      </c>
      <c r="F574" t="s">
        <v>68</v>
      </c>
      <c r="G574">
        <v>262</v>
      </c>
      <c r="H574">
        <v>29</v>
      </c>
      <c r="I574">
        <v>78</v>
      </c>
      <c r="J574">
        <v>213</v>
      </c>
      <c r="K574" s="3">
        <v>11.77</v>
      </c>
      <c r="L574" s="3">
        <v>2507.0100000000002</v>
      </c>
      <c r="M574" t="s">
        <v>18</v>
      </c>
    </row>
    <row r="575" spans="1:13">
      <c r="A575" t="s">
        <v>644</v>
      </c>
      <c r="B575" s="2">
        <v>46158</v>
      </c>
      <c r="C575" t="s">
        <v>124</v>
      </c>
      <c r="D575" t="s">
        <v>125</v>
      </c>
      <c r="E575" t="s">
        <v>22</v>
      </c>
      <c r="F575" t="s">
        <v>23</v>
      </c>
      <c r="G575">
        <v>66</v>
      </c>
      <c r="H575">
        <v>164</v>
      </c>
      <c r="I575">
        <v>139</v>
      </c>
      <c r="J575">
        <v>91</v>
      </c>
      <c r="K575" s="3">
        <v>151.18</v>
      </c>
      <c r="L575" s="3">
        <v>13757.38</v>
      </c>
      <c r="M575" t="s">
        <v>18</v>
      </c>
    </row>
    <row r="576" spans="1:13">
      <c r="A576" t="s">
        <v>645</v>
      </c>
      <c r="B576" s="2">
        <v>46212</v>
      </c>
      <c r="C576" t="s">
        <v>136</v>
      </c>
      <c r="D576" t="s">
        <v>137</v>
      </c>
      <c r="E576" t="s">
        <v>37</v>
      </c>
      <c r="F576" t="s">
        <v>38</v>
      </c>
      <c r="G576">
        <v>115</v>
      </c>
      <c r="H576">
        <v>114</v>
      </c>
      <c r="I576">
        <v>11</v>
      </c>
      <c r="J576">
        <v>218</v>
      </c>
      <c r="K576" s="3">
        <v>9.9600000000000009</v>
      </c>
      <c r="L576" s="3">
        <v>2171.2800000000002</v>
      </c>
      <c r="M576" t="s">
        <v>18</v>
      </c>
    </row>
    <row r="577" spans="1:13">
      <c r="A577" t="s">
        <v>646</v>
      </c>
      <c r="B577" s="2">
        <v>46138</v>
      </c>
      <c r="C577" t="s">
        <v>26</v>
      </c>
      <c r="D577" t="s">
        <v>27</v>
      </c>
      <c r="E577" t="s">
        <v>28</v>
      </c>
      <c r="F577" t="s">
        <v>29</v>
      </c>
      <c r="G577">
        <v>448</v>
      </c>
      <c r="H577">
        <v>68</v>
      </c>
      <c r="I577">
        <v>144</v>
      </c>
      <c r="J577">
        <v>372</v>
      </c>
      <c r="K577" s="3">
        <v>111.46</v>
      </c>
      <c r="L577" s="3">
        <v>41463.120000000003</v>
      </c>
      <c r="M577" t="s">
        <v>24</v>
      </c>
    </row>
    <row r="578" spans="1:13">
      <c r="A578" t="s">
        <v>647</v>
      </c>
      <c r="B578" s="2">
        <v>46066</v>
      </c>
      <c r="C578" t="s">
        <v>20</v>
      </c>
      <c r="D578" t="s">
        <v>21</v>
      </c>
      <c r="E578" t="s">
        <v>22</v>
      </c>
      <c r="F578" t="s">
        <v>23</v>
      </c>
      <c r="G578">
        <v>362</v>
      </c>
      <c r="H578">
        <v>88</v>
      </c>
      <c r="I578">
        <v>206</v>
      </c>
      <c r="J578">
        <v>244</v>
      </c>
      <c r="K578" s="3">
        <v>65.260000000000005</v>
      </c>
      <c r="L578" s="3">
        <v>15923.44</v>
      </c>
      <c r="M578" t="s">
        <v>24</v>
      </c>
    </row>
    <row r="579" spans="1:13">
      <c r="A579" t="s">
        <v>648</v>
      </c>
      <c r="B579" s="2">
        <v>46054</v>
      </c>
      <c r="C579" t="s">
        <v>51</v>
      </c>
      <c r="D579" t="s">
        <v>52</v>
      </c>
      <c r="E579" t="s">
        <v>28</v>
      </c>
      <c r="F579" t="s">
        <v>33</v>
      </c>
      <c r="G579">
        <v>450</v>
      </c>
      <c r="H579">
        <v>99</v>
      </c>
      <c r="I579">
        <v>209</v>
      </c>
      <c r="J579">
        <v>340</v>
      </c>
      <c r="K579" s="3">
        <v>27.18</v>
      </c>
      <c r="L579" s="3">
        <v>9241.2000000000007</v>
      </c>
      <c r="M579" t="s">
        <v>24</v>
      </c>
    </row>
    <row r="580" spans="1:13">
      <c r="A580" t="s">
        <v>649</v>
      </c>
      <c r="B580" s="2">
        <v>46143</v>
      </c>
      <c r="C580" t="s">
        <v>124</v>
      </c>
      <c r="D580" t="s">
        <v>125</v>
      </c>
      <c r="E580" t="s">
        <v>22</v>
      </c>
      <c r="F580" t="s">
        <v>23</v>
      </c>
      <c r="G580">
        <v>263</v>
      </c>
      <c r="H580">
        <v>76</v>
      </c>
      <c r="I580">
        <v>20</v>
      </c>
      <c r="J580">
        <v>319</v>
      </c>
      <c r="K580" s="3">
        <v>151.36000000000001</v>
      </c>
      <c r="L580" s="3">
        <v>48283.839999999997</v>
      </c>
      <c r="M580" t="s">
        <v>24</v>
      </c>
    </row>
    <row r="581" spans="1:13">
      <c r="A581" t="s">
        <v>650</v>
      </c>
      <c r="B581" s="2">
        <v>46280</v>
      </c>
      <c r="C581" t="s">
        <v>86</v>
      </c>
      <c r="D581" t="s">
        <v>87</v>
      </c>
      <c r="E581" t="s">
        <v>43</v>
      </c>
      <c r="F581" t="s">
        <v>44</v>
      </c>
      <c r="G581">
        <v>312</v>
      </c>
      <c r="H581">
        <v>132</v>
      </c>
      <c r="I581">
        <v>204</v>
      </c>
      <c r="J581">
        <v>240</v>
      </c>
      <c r="K581" s="3">
        <v>10.039999999999999</v>
      </c>
      <c r="L581" s="3">
        <v>2409.6</v>
      </c>
      <c r="M581" t="s">
        <v>24</v>
      </c>
    </row>
    <row r="582" spans="1:13">
      <c r="A582" t="s">
        <v>651</v>
      </c>
      <c r="B582" s="2">
        <v>46084</v>
      </c>
      <c r="C582" t="s">
        <v>77</v>
      </c>
      <c r="D582" t="s">
        <v>78</v>
      </c>
      <c r="E582" t="s">
        <v>16</v>
      </c>
      <c r="F582" t="s">
        <v>17</v>
      </c>
      <c r="G582">
        <v>407</v>
      </c>
      <c r="H582">
        <v>114</v>
      </c>
      <c r="I582">
        <v>44</v>
      </c>
      <c r="J582">
        <v>477</v>
      </c>
      <c r="K582" s="3">
        <v>221.88</v>
      </c>
      <c r="L582" s="3">
        <v>105836.76</v>
      </c>
      <c r="M582" t="s">
        <v>49</v>
      </c>
    </row>
    <row r="583" spans="1:13">
      <c r="A583" t="s">
        <v>652</v>
      </c>
      <c r="B583" s="2">
        <v>46121</v>
      </c>
      <c r="C583" t="s">
        <v>99</v>
      </c>
      <c r="D583" t="s">
        <v>100</v>
      </c>
      <c r="E583" t="s">
        <v>43</v>
      </c>
      <c r="F583" t="s">
        <v>44</v>
      </c>
      <c r="G583">
        <v>84</v>
      </c>
      <c r="H583">
        <v>10</v>
      </c>
      <c r="I583">
        <v>54</v>
      </c>
      <c r="J583">
        <v>40</v>
      </c>
      <c r="K583" s="3">
        <v>233.26</v>
      </c>
      <c r="L583" s="3">
        <v>9330.4</v>
      </c>
      <c r="M583" t="s">
        <v>24</v>
      </c>
    </row>
    <row r="584" spans="1:13">
      <c r="A584" t="s">
        <v>653</v>
      </c>
      <c r="B584" s="2">
        <v>46126</v>
      </c>
      <c r="C584" t="s">
        <v>62</v>
      </c>
      <c r="D584" t="s">
        <v>63</v>
      </c>
      <c r="E584" t="s">
        <v>37</v>
      </c>
      <c r="F584" t="s">
        <v>38</v>
      </c>
      <c r="G584">
        <v>441</v>
      </c>
      <c r="H584">
        <v>160</v>
      </c>
      <c r="I584">
        <v>37</v>
      </c>
      <c r="J584">
        <v>564</v>
      </c>
      <c r="K584" s="3">
        <v>61.18</v>
      </c>
      <c r="L584" s="3">
        <v>34505.519999999997</v>
      </c>
      <c r="M584" t="s">
        <v>18</v>
      </c>
    </row>
    <row r="585" spans="1:13">
      <c r="A585" t="s">
        <v>654</v>
      </c>
      <c r="B585" s="2">
        <v>46057</v>
      </c>
      <c r="C585" t="s">
        <v>66</v>
      </c>
      <c r="D585" t="s">
        <v>67</v>
      </c>
      <c r="E585" t="s">
        <v>16</v>
      </c>
      <c r="F585" t="s">
        <v>68</v>
      </c>
      <c r="G585">
        <v>64</v>
      </c>
      <c r="H585">
        <v>99</v>
      </c>
      <c r="I585">
        <v>142</v>
      </c>
      <c r="J585">
        <v>21</v>
      </c>
      <c r="K585" s="3">
        <v>62.52</v>
      </c>
      <c r="L585" s="3">
        <v>1312.92</v>
      </c>
      <c r="M585" t="s">
        <v>18</v>
      </c>
    </row>
    <row r="586" spans="1:13">
      <c r="A586" t="s">
        <v>655</v>
      </c>
      <c r="B586" s="2">
        <v>46289</v>
      </c>
      <c r="C586" t="s">
        <v>26</v>
      </c>
      <c r="D586" t="s">
        <v>27</v>
      </c>
      <c r="E586" t="s">
        <v>28</v>
      </c>
      <c r="F586" t="s">
        <v>29</v>
      </c>
      <c r="G586">
        <v>254</v>
      </c>
      <c r="H586">
        <v>3</v>
      </c>
      <c r="I586">
        <v>201</v>
      </c>
      <c r="J586">
        <v>56</v>
      </c>
      <c r="K586" s="3">
        <v>123.72</v>
      </c>
      <c r="L586" s="3">
        <v>6928.32</v>
      </c>
      <c r="M586" t="s">
        <v>24</v>
      </c>
    </row>
    <row r="587" spans="1:13">
      <c r="A587" t="s">
        <v>656</v>
      </c>
      <c r="B587" s="2">
        <v>46237</v>
      </c>
      <c r="C587" t="s">
        <v>59</v>
      </c>
      <c r="D587" t="s">
        <v>60</v>
      </c>
      <c r="E587" t="s">
        <v>16</v>
      </c>
      <c r="F587" t="s">
        <v>17</v>
      </c>
      <c r="G587">
        <v>77</v>
      </c>
      <c r="H587">
        <v>106</v>
      </c>
      <c r="I587">
        <v>38</v>
      </c>
      <c r="J587">
        <v>145</v>
      </c>
      <c r="K587" s="3">
        <v>60.46</v>
      </c>
      <c r="L587" s="3">
        <v>8766.7000000000007</v>
      </c>
      <c r="M587" t="s">
        <v>24</v>
      </c>
    </row>
    <row r="588" spans="1:13">
      <c r="A588" t="s">
        <v>657</v>
      </c>
      <c r="B588" s="2">
        <v>46074</v>
      </c>
      <c r="C588" t="s">
        <v>35</v>
      </c>
      <c r="D588" t="s">
        <v>36</v>
      </c>
      <c r="E588" t="s">
        <v>37</v>
      </c>
      <c r="F588" t="s">
        <v>38</v>
      </c>
      <c r="G588">
        <v>493</v>
      </c>
      <c r="H588">
        <v>27</v>
      </c>
      <c r="I588">
        <v>144</v>
      </c>
      <c r="J588">
        <v>376</v>
      </c>
      <c r="K588" s="3">
        <v>237.37</v>
      </c>
      <c r="L588" s="3">
        <v>89251.12</v>
      </c>
      <c r="M588" t="s">
        <v>18</v>
      </c>
    </row>
    <row r="589" spans="1:13">
      <c r="A589" t="s">
        <v>658</v>
      </c>
      <c r="B589" s="2">
        <v>46199</v>
      </c>
      <c r="C589" t="s">
        <v>47</v>
      </c>
      <c r="D589" t="s">
        <v>48</v>
      </c>
      <c r="E589" t="s">
        <v>43</v>
      </c>
      <c r="F589" t="s">
        <v>44</v>
      </c>
      <c r="G589">
        <v>469</v>
      </c>
      <c r="H589">
        <v>105</v>
      </c>
      <c r="I589">
        <v>67</v>
      </c>
      <c r="J589">
        <v>507</v>
      </c>
      <c r="K589" s="3">
        <v>163.12</v>
      </c>
      <c r="L589" s="3">
        <v>82701.84</v>
      </c>
      <c r="M589" t="s">
        <v>18</v>
      </c>
    </row>
    <row r="590" spans="1:13">
      <c r="A590" t="s">
        <v>659</v>
      </c>
      <c r="B590" s="2">
        <v>46265</v>
      </c>
      <c r="C590" t="s">
        <v>35</v>
      </c>
      <c r="D590" t="s">
        <v>36</v>
      </c>
      <c r="E590" t="s">
        <v>37</v>
      </c>
      <c r="F590" t="s">
        <v>38</v>
      </c>
      <c r="G590">
        <v>39</v>
      </c>
      <c r="H590">
        <v>44</v>
      </c>
      <c r="I590">
        <v>35</v>
      </c>
      <c r="J590">
        <v>48</v>
      </c>
      <c r="K590" s="3">
        <v>223.68</v>
      </c>
      <c r="L590" s="3">
        <v>10736.64</v>
      </c>
      <c r="M590" t="s">
        <v>24</v>
      </c>
    </row>
    <row r="591" spans="1:13">
      <c r="A591" t="s">
        <v>660</v>
      </c>
      <c r="B591" s="2">
        <v>46228</v>
      </c>
      <c r="C591" t="s">
        <v>80</v>
      </c>
      <c r="D591" t="s">
        <v>81</v>
      </c>
      <c r="E591" t="s">
        <v>28</v>
      </c>
      <c r="F591" t="s">
        <v>33</v>
      </c>
      <c r="G591">
        <v>39</v>
      </c>
      <c r="H591">
        <v>101</v>
      </c>
      <c r="I591">
        <v>84</v>
      </c>
      <c r="J591">
        <v>56</v>
      </c>
      <c r="K591" s="3">
        <v>4.95</v>
      </c>
      <c r="L591" s="3">
        <v>277.2</v>
      </c>
      <c r="M591" t="s">
        <v>49</v>
      </c>
    </row>
    <row r="592" spans="1:13">
      <c r="A592" t="s">
        <v>661</v>
      </c>
      <c r="B592" s="2">
        <v>46160</v>
      </c>
      <c r="C592" t="s">
        <v>124</v>
      </c>
      <c r="D592" t="s">
        <v>125</v>
      </c>
      <c r="E592" t="s">
        <v>22</v>
      </c>
      <c r="F592" t="s">
        <v>23</v>
      </c>
      <c r="G592">
        <v>479</v>
      </c>
      <c r="H592">
        <v>95</v>
      </c>
      <c r="I592">
        <v>5</v>
      </c>
      <c r="J592">
        <v>569</v>
      </c>
      <c r="K592" s="3">
        <v>149.96</v>
      </c>
      <c r="L592" s="3">
        <v>85327.24</v>
      </c>
      <c r="M592" t="s">
        <v>18</v>
      </c>
    </row>
    <row r="593" spans="1:13">
      <c r="A593" t="s">
        <v>662</v>
      </c>
      <c r="B593" s="2">
        <v>46166</v>
      </c>
      <c r="C593" t="s">
        <v>71</v>
      </c>
      <c r="D593" t="s">
        <v>72</v>
      </c>
      <c r="E593" t="s">
        <v>22</v>
      </c>
      <c r="F593" t="s">
        <v>68</v>
      </c>
      <c r="G593">
        <v>451</v>
      </c>
      <c r="H593">
        <v>125</v>
      </c>
      <c r="I593">
        <v>219</v>
      </c>
      <c r="J593">
        <v>357</v>
      </c>
      <c r="K593" s="3">
        <v>11.61</v>
      </c>
      <c r="L593" s="3">
        <v>4144.7700000000004</v>
      </c>
      <c r="M593" t="s">
        <v>49</v>
      </c>
    </row>
    <row r="594" spans="1:13">
      <c r="A594" t="s">
        <v>663</v>
      </c>
      <c r="B594" s="2">
        <v>46091</v>
      </c>
      <c r="C594" t="s">
        <v>51</v>
      </c>
      <c r="D594" t="s">
        <v>52</v>
      </c>
      <c r="E594" t="s">
        <v>28</v>
      </c>
      <c r="F594" t="s">
        <v>33</v>
      </c>
      <c r="G594">
        <v>173</v>
      </c>
      <c r="H594">
        <v>113</v>
      </c>
      <c r="I594">
        <v>198</v>
      </c>
      <c r="J594">
        <v>88</v>
      </c>
      <c r="K594" s="3">
        <v>28.49</v>
      </c>
      <c r="L594" s="3">
        <v>2507.12</v>
      </c>
      <c r="M594" t="s">
        <v>18</v>
      </c>
    </row>
    <row r="595" spans="1:13">
      <c r="A595" t="s">
        <v>664</v>
      </c>
      <c r="B595" s="2">
        <v>46068</v>
      </c>
      <c r="C595" t="s">
        <v>62</v>
      </c>
      <c r="D595" t="s">
        <v>63</v>
      </c>
      <c r="E595" t="s">
        <v>37</v>
      </c>
      <c r="F595" t="s">
        <v>38</v>
      </c>
      <c r="G595">
        <v>116</v>
      </c>
      <c r="H595">
        <v>113</v>
      </c>
      <c r="I595">
        <v>54</v>
      </c>
      <c r="J595">
        <v>175</v>
      </c>
      <c r="K595" s="3">
        <v>61.92</v>
      </c>
      <c r="L595" s="3">
        <v>10836</v>
      </c>
      <c r="M595" t="s">
        <v>18</v>
      </c>
    </row>
    <row r="596" spans="1:13">
      <c r="A596" t="s">
        <v>665</v>
      </c>
      <c r="B596" s="2">
        <v>46287</v>
      </c>
      <c r="C596" t="s">
        <v>124</v>
      </c>
      <c r="D596" t="s">
        <v>125</v>
      </c>
      <c r="E596" t="s">
        <v>22</v>
      </c>
      <c r="F596" t="s">
        <v>23</v>
      </c>
      <c r="G596">
        <v>464</v>
      </c>
      <c r="H596">
        <v>95</v>
      </c>
      <c r="I596">
        <v>210</v>
      </c>
      <c r="J596">
        <v>349</v>
      </c>
      <c r="K596" s="3">
        <v>143.02000000000001</v>
      </c>
      <c r="L596" s="3">
        <v>49913.98</v>
      </c>
      <c r="M596" t="s">
        <v>49</v>
      </c>
    </row>
    <row r="597" spans="1:13">
      <c r="A597" t="s">
        <v>666</v>
      </c>
      <c r="B597" s="2">
        <v>46182</v>
      </c>
      <c r="C597" t="s">
        <v>31</v>
      </c>
      <c r="D597" t="s">
        <v>32</v>
      </c>
      <c r="E597" t="s">
        <v>28</v>
      </c>
      <c r="F597" t="s">
        <v>33</v>
      </c>
      <c r="G597">
        <v>383</v>
      </c>
      <c r="H597">
        <v>129</v>
      </c>
      <c r="I597">
        <v>103</v>
      </c>
      <c r="J597">
        <v>409</v>
      </c>
      <c r="K597" s="3">
        <v>74.569999999999993</v>
      </c>
      <c r="L597" s="3">
        <v>30499.13</v>
      </c>
      <c r="M597" t="s">
        <v>24</v>
      </c>
    </row>
    <row r="598" spans="1:13">
      <c r="A598" t="s">
        <v>667</v>
      </c>
      <c r="B598" s="2">
        <v>46037</v>
      </c>
      <c r="C598" t="s">
        <v>35</v>
      </c>
      <c r="D598" t="s">
        <v>36</v>
      </c>
      <c r="E598" t="s">
        <v>37</v>
      </c>
      <c r="F598" t="s">
        <v>38</v>
      </c>
      <c r="G598">
        <v>108</v>
      </c>
      <c r="H598">
        <v>49</v>
      </c>
      <c r="I598">
        <v>51</v>
      </c>
      <c r="J598">
        <v>106</v>
      </c>
      <c r="K598" s="3">
        <v>239.46</v>
      </c>
      <c r="L598" s="3">
        <v>25382.76</v>
      </c>
      <c r="M598" t="s">
        <v>49</v>
      </c>
    </row>
    <row r="599" spans="1:13">
      <c r="A599" t="s">
        <v>668</v>
      </c>
      <c r="B599" s="2">
        <v>46256</v>
      </c>
      <c r="C599" t="s">
        <v>86</v>
      </c>
      <c r="D599" t="s">
        <v>87</v>
      </c>
      <c r="E599" t="s">
        <v>43</v>
      </c>
      <c r="F599" t="s">
        <v>44</v>
      </c>
      <c r="G599">
        <v>45</v>
      </c>
      <c r="H599">
        <v>92</v>
      </c>
      <c r="I599">
        <v>50</v>
      </c>
      <c r="J599">
        <v>87</v>
      </c>
      <c r="K599" s="3">
        <v>9.57</v>
      </c>
      <c r="L599" s="3">
        <v>832.59</v>
      </c>
      <c r="M599" t="s">
        <v>18</v>
      </c>
    </row>
    <row r="600" spans="1:13">
      <c r="A600" t="s">
        <v>669</v>
      </c>
      <c r="B600" s="2">
        <v>46226</v>
      </c>
      <c r="C600" t="s">
        <v>59</v>
      </c>
      <c r="D600" t="s">
        <v>60</v>
      </c>
      <c r="E600" t="s">
        <v>16</v>
      </c>
      <c r="F600" t="s">
        <v>17</v>
      </c>
      <c r="G600">
        <v>345</v>
      </c>
      <c r="H600">
        <v>31</v>
      </c>
      <c r="I600">
        <v>174</v>
      </c>
      <c r="J600">
        <v>202</v>
      </c>
      <c r="K600" s="3">
        <v>59.25</v>
      </c>
      <c r="L600" s="3">
        <v>11968.5</v>
      </c>
      <c r="M600" t="s">
        <v>18</v>
      </c>
    </row>
    <row r="601" spans="1:13">
      <c r="A601" t="s">
        <v>670</v>
      </c>
      <c r="B601" s="2">
        <v>46251</v>
      </c>
      <c r="C601" t="s">
        <v>124</v>
      </c>
      <c r="D601" t="s">
        <v>125</v>
      </c>
      <c r="E601" t="s">
        <v>22</v>
      </c>
      <c r="F601" t="s">
        <v>23</v>
      </c>
      <c r="G601">
        <v>110</v>
      </c>
      <c r="H601">
        <v>121</v>
      </c>
      <c r="I601">
        <v>150</v>
      </c>
      <c r="J601">
        <v>81</v>
      </c>
      <c r="K601" s="3">
        <v>155.21</v>
      </c>
      <c r="L601" s="3">
        <v>12572.01</v>
      </c>
      <c r="M601" t="s">
        <v>18</v>
      </c>
    </row>
    <row r="602" spans="1:13">
      <c r="A602" t="s">
        <v>671</v>
      </c>
      <c r="B602" s="2">
        <v>46155</v>
      </c>
      <c r="C602" t="s">
        <v>14</v>
      </c>
      <c r="D602" t="s">
        <v>15</v>
      </c>
      <c r="E602" t="s">
        <v>16</v>
      </c>
      <c r="F602" t="s">
        <v>17</v>
      </c>
      <c r="G602">
        <v>403</v>
      </c>
      <c r="H602">
        <v>176</v>
      </c>
      <c r="I602">
        <v>23</v>
      </c>
      <c r="J602">
        <v>556</v>
      </c>
      <c r="K602" s="3">
        <v>183.9</v>
      </c>
      <c r="L602" s="3">
        <v>102248.4</v>
      </c>
      <c r="M602" t="s">
        <v>18</v>
      </c>
    </row>
    <row r="603" spans="1:13">
      <c r="A603" t="s">
        <v>672</v>
      </c>
      <c r="B603" s="2">
        <v>46106</v>
      </c>
      <c r="C603" t="s">
        <v>86</v>
      </c>
      <c r="D603" t="s">
        <v>87</v>
      </c>
      <c r="E603" t="s">
        <v>43</v>
      </c>
      <c r="F603" t="s">
        <v>44</v>
      </c>
      <c r="G603">
        <v>457</v>
      </c>
      <c r="H603">
        <v>146</v>
      </c>
      <c r="I603">
        <v>199</v>
      </c>
      <c r="J603">
        <v>404</v>
      </c>
      <c r="K603" s="3">
        <v>10.67</v>
      </c>
      <c r="L603" s="3">
        <v>4310.68</v>
      </c>
      <c r="M603" t="s">
        <v>49</v>
      </c>
    </row>
    <row r="604" spans="1:13">
      <c r="A604" t="s">
        <v>673</v>
      </c>
      <c r="B604" s="2">
        <v>46128</v>
      </c>
      <c r="C604" t="s">
        <v>51</v>
      </c>
      <c r="D604" t="s">
        <v>52</v>
      </c>
      <c r="E604" t="s">
        <v>28</v>
      </c>
      <c r="F604" t="s">
        <v>33</v>
      </c>
      <c r="G604">
        <v>157</v>
      </c>
      <c r="H604">
        <v>166</v>
      </c>
      <c r="I604">
        <v>104</v>
      </c>
      <c r="J604">
        <v>219</v>
      </c>
      <c r="K604" s="3">
        <v>27.14</v>
      </c>
      <c r="L604" s="3">
        <v>5943.66</v>
      </c>
      <c r="M604" t="s">
        <v>24</v>
      </c>
    </row>
    <row r="605" spans="1:13">
      <c r="A605" t="s">
        <v>674</v>
      </c>
      <c r="B605" s="2">
        <v>46265</v>
      </c>
      <c r="C605" t="s">
        <v>116</v>
      </c>
      <c r="D605" t="s">
        <v>117</v>
      </c>
      <c r="E605" t="s">
        <v>22</v>
      </c>
      <c r="F605" t="s">
        <v>23</v>
      </c>
      <c r="G605">
        <v>486</v>
      </c>
      <c r="H605">
        <v>33</v>
      </c>
      <c r="I605">
        <v>165</v>
      </c>
      <c r="J605">
        <v>354</v>
      </c>
      <c r="K605" s="3">
        <v>170.7</v>
      </c>
      <c r="L605" s="3">
        <v>60427.8</v>
      </c>
      <c r="M605" t="s">
        <v>49</v>
      </c>
    </row>
    <row r="606" spans="1:13">
      <c r="A606" t="s">
        <v>675</v>
      </c>
      <c r="B606" s="2">
        <v>46152</v>
      </c>
      <c r="C606" t="s">
        <v>51</v>
      </c>
      <c r="D606" t="s">
        <v>52</v>
      </c>
      <c r="E606" t="s">
        <v>28</v>
      </c>
      <c r="F606" t="s">
        <v>33</v>
      </c>
      <c r="G606">
        <v>331</v>
      </c>
      <c r="H606">
        <v>78</v>
      </c>
      <c r="I606">
        <v>182</v>
      </c>
      <c r="J606">
        <v>227</v>
      </c>
      <c r="K606" s="3">
        <v>29.11</v>
      </c>
      <c r="L606" s="3">
        <v>6607.97</v>
      </c>
      <c r="M606" t="s">
        <v>24</v>
      </c>
    </row>
    <row r="607" spans="1:13">
      <c r="A607" t="s">
        <v>676</v>
      </c>
      <c r="B607" s="2">
        <v>46239</v>
      </c>
      <c r="C607" t="s">
        <v>26</v>
      </c>
      <c r="D607" t="s">
        <v>27</v>
      </c>
      <c r="E607" t="s">
        <v>28</v>
      </c>
      <c r="F607" t="s">
        <v>29</v>
      </c>
      <c r="G607">
        <v>478</v>
      </c>
      <c r="H607">
        <v>96</v>
      </c>
      <c r="I607">
        <v>218</v>
      </c>
      <c r="J607">
        <v>356</v>
      </c>
      <c r="K607" s="3">
        <v>116.97</v>
      </c>
      <c r="L607" s="3">
        <v>41641.32</v>
      </c>
      <c r="M607" t="s">
        <v>18</v>
      </c>
    </row>
    <row r="608" spans="1:13">
      <c r="A608" t="s">
        <v>677</v>
      </c>
      <c r="B608" s="2">
        <v>46261</v>
      </c>
      <c r="C608" t="s">
        <v>99</v>
      </c>
      <c r="D608" t="s">
        <v>100</v>
      </c>
      <c r="E608" t="s">
        <v>43</v>
      </c>
      <c r="F608" t="s">
        <v>44</v>
      </c>
      <c r="G608">
        <v>174</v>
      </c>
      <c r="H608">
        <v>173</v>
      </c>
      <c r="I608">
        <v>133</v>
      </c>
      <c r="J608">
        <v>214</v>
      </c>
      <c r="K608" s="3">
        <v>263.11</v>
      </c>
      <c r="L608" s="3">
        <v>56305.54</v>
      </c>
      <c r="M608" t="s">
        <v>18</v>
      </c>
    </row>
    <row r="609" spans="1:13">
      <c r="A609" t="s">
        <v>678</v>
      </c>
      <c r="B609" s="2">
        <v>46075</v>
      </c>
      <c r="C609" t="s">
        <v>35</v>
      </c>
      <c r="D609" t="s">
        <v>36</v>
      </c>
      <c r="E609" t="s">
        <v>37</v>
      </c>
      <c r="F609" t="s">
        <v>38</v>
      </c>
      <c r="G609">
        <v>23</v>
      </c>
      <c r="H609">
        <v>130</v>
      </c>
      <c r="I609">
        <v>95</v>
      </c>
      <c r="J609">
        <v>58</v>
      </c>
      <c r="K609" s="3">
        <v>229.45</v>
      </c>
      <c r="L609" s="3">
        <v>13308.1</v>
      </c>
      <c r="M609" t="s">
        <v>24</v>
      </c>
    </row>
    <row r="610" spans="1:13">
      <c r="A610" t="s">
        <v>679</v>
      </c>
      <c r="B610" s="2">
        <v>46167</v>
      </c>
      <c r="C610" t="s">
        <v>80</v>
      </c>
      <c r="D610" t="s">
        <v>81</v>
      </c>
      <c r="E610" t="s">
        <v>28</v>
      </c>
      <c r="F610" t="s">
        <v>33</v>
      </c>
      <c r="G610">
        <v>172</v>
      </c>
      <c r="H610">
        <v>175</v>
      </c>
      <c r="I610">
        <v>27</v>
      </c>
      <c r="J610">
        <v>320</v>
      </c>
      <c r="K610" s="3">
        <v>4.79</v>
      </c>
      <c r="L610" s="3">
        <v>1532.8</v>
      </c>
      <c r="M610" t="s">
        <v>18</v>
      </c>
    </row>
    <row r="611" spans="1:13">
      <c r="A611" t="s">
        <v>680</v>
      </c>
      <c r="B611" s="2">
        <v>46189</v>
      </c>
      <c r="C611" t="s">
        <v>26</v>
      </c>
      <c r="D611" t="s">
        <v>27</v>
      </c>
      <c r="E611" t="s">
        <v>28</v>
      </c>
      <c r="F611" t="s">
        <v>29</v>
      </c>
      <c r="G611">
        <v>461</v>
      </c>
      <c r="H611">
        <v>70</v>
      </c>
      <c r="I611">
        <v>66</v>
      </c>
      <c r="J611">
        <v>465</v>
      </c>
      <c r="K611" s="3">
        <v>122.87</v>
      </c>
      <c r="L611" s="3">
        <v>57134.55</v>
      </c>
      <c r="M611" t="s">
        <v>24</v>
      </c>
    </row>
    <row r="612" spans="1:13">
      <c r="A612" t="s">
        <v>681</v>
      </c>
      <c r="B612" s="2">
        <v>46119</v>
      </c>
      <c r="C612" t="s">
        <v>71</v>
      </c>
      <c r="D612" t="s">
        <v>72</v>
      </c>
      <c r="E612" t="s">
        <v>22</v>
      </c>
      <c r="F612" t="s">
        <v>68</v>
      </c>
      <c r="G612">
        <v>96</v>
      </c>
      <c r="H612">
        <v>132</v>
      </c>
      <c r="I612">
        <v>195</v>
      </c>
      <c r="J612">
        <v>33</v>
      </c>
      <c r="K612" s="3">
        <v>10.79</v>
      </c>
      <c r="L612" s="3">
        <v>356.07</v>
      </c>
      <c r="M612" t="s">
        <v>49</v>
      </c>
    </row>
    <row r="613" spans="1:13">
      <c r="A613" t="s">
        <v>682</v>
      </c>
      <c r="B613" s="2">
        <v>46229</v>
      </c>
      <c r="C613" t="s">
        <v>80</v>
      </c>
      <c r="D613" t="s">
        <v>81</v>
      </c>
      <c r="E613" t="s">
        <v>28</v>
      </c>
      <c r="F613" t="s">
        <v>33</v>
      </c>
      <c r="G613">
        <v>358</v>
      </c>
      <c r="H613">
        <v>81</v>
      </c>
      <c r="I613">
        <v>174</v>
      </c>
      <c r="J613">
        <v>265</v>
      </c>
      <c r="K613" s="3">
        <v>4.5199999999999996</v>
      </c>
      <c r="L613" s="3">
        <v>1197.8</v>
      </c>
      <c r="M613" t="s">
        <v>49</v>
      </c>
    </row>
    <row r="614" spans="1:13">
      <c r="A614" t="s">
        <v>683</v>
      </c>
      <c r="B614" s="2">
        <v>46174</v>
      </c>
      <c r="C614" t="s">
        <v>124</v>
      </c>
      <c r="D614" t="s">
        <v>125</v>
      </c>
      <c r="E614" t="s">
        <v>22</v>
      </c>
      <c r="F614" t="s">
        <v>23</v>
      </c>
      <c r="G614">
        <v>152</v>
      </c>
      <c r="H614">
        <v>107</v>
      </c>
      <c r="I614">
        <v>103</v>
      </c>
      <c r="J614">
        <v>156</v>
      </c>
      <c r="K614" s="3">
        <v>151.19999999999999</v>
      </c>
      <c r="L614" s="3">
        <v>23587.200000000001</v>
      </c>
      <c r="M614" t="s">
        <v>49</v>
      </c>
    </row>
    <row r="615" spans="1:13">
      <c r="A615" t="s">
        <v>684</v>
      </c>
      <c r="B615" s="2">
        <v>46120</v>
      </c>
      <c r="C615" t="s">
        <v>35</v>
      </c>
      <c r="D615" t="s">
        <v>36</v>
      </c>
      <c r="E615" t="s">
        <v>37</v>
      </c>
      <c r="F615" t="s">
        <v>38</v>
      </c>
      <c r="G615">
        <v>195</v>
      </c>
      <c r="H615">
        <v>56</v>
      </c>
      <c r="I615">
        <v>175</v>
      </c>
      <c r="J615">
        <v>76</v>
      </c>
      <c r="K615" s="3">
        <v>228.47</v>
      </c>
      <c r="L615" s="3">
        <v>17363.72</v>
      </c>
      <c r="M615" t="s">
        <v>18</v>
      </c>
    </row>
    <row r="616" spans="1:13">
      <c r="A616" t="s">
        <v>685</v>
      </c>
      <c r="B616" s="2">
        <v>46282</v>
      </c>
      <c r="C616" t="s">
        <v>41</v>
      </c>
      <c r="D616" t="s">
        <v>42</v>
      </c>
      <c r="E616" t="s">
        <v>43</v>
      </c>
      <c r="F616" t="s">
        <v>44</v>
      </c>
      <c r="G616">
        <v>173</v>
      </c>
      <c r="H616">
        <v>43</v>
      </c>
      <c r="I616">
        <v>215</v>
      </c>
      <c r="J616">
        <v>1</v>
      </c>
      <c r="K616" s="3">
        <v>146.59</v>
      </c>
      <c r="L616" s="3">
        <v>146.59</v>
      </c>
      <c r="M616" t="s">
        <v>24</v>
      </c>
    </row>
    <row r="617" spans="1:13">
      <c r="A617" t="s">
        <v>686</v>
      </c>
      <c r="B617" s="2">
        <v>46173</v>
      </c>
      <c r="C617" t="s">
        <v>14</v>
      </c>
      <c r="D617" t="s">
        <v>15</v>
      </c>
      <c r="E617" t="s">
        <v>16</v>
      </c>
      <c r="F617" t="s">
        <v>17</v>
      </c>
      <c r="G617">
        <v>69</v>
      </c>
      <c r="H617">
        <v>120</v>
      </c>
      <c r="I617">
        <v>32</v>
      </c>
      <c r="J617">
        <v>157</v>
      </c>
      <c r="K617" s="3">
        <v>197.79</v>
      </c>
      <c r="L617" s="3">
        <v>31053.03</v>
      </c>
      <c r="M617" t="s">
        <v>24</v>
      </c>
    </row>
    <row r="618" spans="1:13">
      <c r="A618" t="s">
        <v>687</v>
      </c>
      <c r="B618" s="2">
        <v>46116</v>
      </c>
      <c r="C618" t="s">
        <v>47</v>
      </c>
      <c r="D618" t="s">
        <v>48</v>
      </c>
      <c r="E618" t="s">
        <v>43</v>
      </c>
      <c r="F618" t="s">
        <v>44</v>
      </c>
      <c r="G618">
        <v>368</v>
      </c>
      <c r="H618">
        <v>85</v>
      </c>
      <c r="I618">
        <v>167</v>
      </c>
      <c r="J618">
        <v>286</v>
      </c>
      <c r="K618" s="3">
        <v>155.30000000000001</v>
      </c>
      <c r="L618" s="3">
        <v>44415.8</v>
      </c>
      <c r="M618" t="s">
        <v>18</v>
      </c>
    </row>
    <row r="619" spans="1:13">
      <c r="A619" t="s">
        <v>688</v>
      </c>
      <c r="B619" s="2">
        <v>46180</v>
      </c>
      <c r="C619" t="s">
        <v>51</v>
      </c>
      <c r="D619" t="s">
        <v>52</v>
      </c>
      <c r="E619" t="s">
        <v>28</v>
      </c>
      <c r="F619" t="s">
        <v>33</v>
      </c>
      <c r="G619">
        <v>235</v>
      </c>
      <c r="H619">
        <v>84</v>
      </c>
      <c r="I619">
        <v>95</v>
      </c>
      <c r="J619">
        <v>224</v>
      </c>
      <c r="K619" s="3">
        <v>26.04</v>
      </c>
      <c r="L619" s="3">
        <v>5832.96</v>
      </c>
      <c r="M619" t="s">
        <v>18</v>
      </c>
    </row>
    <row r="620" spans="1:13">
      <c r="A620" t="s">
        <v>689</v>
      </c>
      <c r="B620" s="2">
        <v>46083</v>
      </c>
      <c r="C620" t="s">
        <v>55</v>
      </c>
      <c r="D620" t="s">
        <v>56</v>
      </c>
      <c r="E620" t="s">
        <v>28</v>
      </c>
      <c r="F620" t="s">
        <v>29</v>
      </c>
      <c r="G620">
        <v>260</v>
      </c>
      <c r="H620">
        <v>13</v>
      </c>
      <c r="I620">
        <v>162</v>
      </c>
      <c r="J620">
        <v>111</v>
      </c>
      <c r="K620" s="3">
        <v>185.47</v>
      </c>
      <c r="L620" s="3">
        <v>20587.169999999998</v>
      </c>
      <c r="M620" t="s">
        <v>24</v>
      </c>
    </row>
    <row r="621" spans="1:13">
      <c r="A621" t="s">
        <v>690</v>
      </c>
      <c r="B621" s="2">
        <v>46264</v>
      </c>
      <c r="C621" t="s">
        <v>31</v>
      </c>
      <c r="D621" t="s">
        <v>32</v>
      </c>
      <c r="E621" t="s">
        <v>28</v>
      </c>
      <c r="F621" t="s">
        <v>33</v>
      </c>
      <c r="G621">
        <v>475</v>
      </c>
      <c r="H621">
        <v>49</v>
      </c>
      <c r="I621">
        <v>128</v>
      </c>
      <c r="J621">
        <v>396</v>
      </c>
      <c r="K621" s="3">
        <v>74.37</v>
      </c>
      <c r="L621" s="3">
        <v>29450.52</v>
      </c>
      <c r="M621" t="s">
        <v>24</v>
      </c>
    </row>
    <row r="622" spans="1:13">
      <c r="A622" t="s">
        <v>691</v>
      </c>
      <c r="B622" s="2">
        <v>46294</v>
      </c>
      <c r="C622" t="s">
        <v>136</v>
      </c>
      <c r="D622" t="s">
        <v>137</v>
      </c>
      <c r="E622" t="s">
        <v>37</v>
      </c>
      <c r="F622" t="s">
        <v>38</v>
      </c>
      <c r="G622">
        <v>172</v>
      </c>
      <c r="H622">
        <v>105</v>
      </c>
      <c r="I622">
        <v>13</v>
      </c>
      <c r="J622">
        <v>264</v>
      </c>
      <c r="K622" s="3">
        <v>10.96</v>
      </c>
      <c r="L622" s="3">
        <v>2893.44</v>
      </c>
      <c r="M622" t="s">
        <v>49</v>
      </c>
    </row>
    <row r="623" spans="1:13">
      <c r="A623" t="s">
        <v>692</v>
      </c>
      <c r="B623" s="2">
        <v>46125</v>
      </c>
      <c r="C623" t="s">
        <v>77</v>
      </c>
      <c r="D623" t="s">
        <v>78</v>
      </c>
      <c r="E623" t="s">
        <v>16</v>
      </c>
      <c r="F623" t="s">
        <v>17</v>
      </c>
      <c r="G623">
        <v>195</v>
      </c>
      <c r="H623">
        <v>104</v>
      </c>
      <c r="I623">
        <v>145</v>
      </c>
      <c r="J623">
        <v>154</v>
      </c>
      <c r="K623" s="3">
        <v>220.01</v>
      </c>
      <c r="L623" s="3">
        <v>33881.54</v>
      </c>
      <c r="M623" t="s">
        <v>18</v>
      </c>
    </row>
    <row r="624" spans="1:13">
      <c r="A624" t="s">
        <v>693</v>
      </c>
      <c r="B624" s="2">
        <v>46184</v>
      </c>
      <c r="C624" t="s">
        <v>77</v>
      </c>
      <c r="D624" t="s">
        <v>78</v>
      </c>
      <c r="E624" t="s">
        <v>16</v>
      </c>
      <c r="F624" t="s">
        <v>17</v>
      </c>
      <c r="G624">
        <v>461</v>
      </c>
      <c r="H624">
        <v>46</v>
      </c>
      <c r="I624">
        <v>199</v>
      </c>
      <c r="J624">
        <v>308</v>
      </c>
      <c r="K624" s="3">
        <v>193.12</v>
      </c>
      <c r="L624" s="3">
        <v>59480.959999999999</v>
      </c>
      <c r="M624" t="s">
        <v>18</v>
      </c>
    </row>
    <row r="625" spans="1:13">
      <c r="A625" t="s">
        <v>694</v>
      </c>
      <c r="B625" s="2">
        <v>46183</v>
      </c>
      <c r="C625" t="s">
        <v>14</v>
      </c>
      <c r="D625" t="s">
        <v>15</v>
      </c>
      <c r="E625" t="s">
        <v>16</v>
      </c>
      <c r="F625" t="s">
        <v>17</v>
      </c>
      <c r="G625">
        <v>344</v>
      </c>
      <c r="H625">
        <v>14</v>
      </c>
      <c r="I625">
        <v>1</v>
      </c>
      <c r="J625">
        <v>357</v>
      </c>
      <c r="K625" s="3">
        <v>188.98</v>
      </c>
      <c r="L625" s="3">
        <v>67465.86</v>
      </c>
      <c r="M625" t="s">
        <v>49</v>
      </c>
    </row>
    <row r="626" spans="1:13">
      <c r="A626" t="s">
        <v>695</v>
      </c>
      <c r="B626" s="2">
        <v>46104</v>
      </c>
      <c r="C626" t="s">
        <v>14</v>
      </c>
      <c r="D626" t="s">
        <v>15</v>
      </c>
      <c r="E626" t="s">
        <v>16</v>
      </c>
      <c r="F626" t="s">
        <v>17</v>
      </c>
      <c r="G626">
        <v>270</v>
      </c>
      <c r="H626">
        <v>22</v>
      </c>
      <c r="I626">
        <v>33</v>
      </c>
      <c r="J626">
        <v>259</v>
      </c>
      <c r="K626" s="3">
        <v>193.93</v>
      </c>
      <c r="L626" s="3">
        <v>50227.87</v>
      </c>
      <c r="M626" t="s">
        <v>24</v>
      </c>
    </row>
    <row r="627" spans="1:13">
      <c r="A627" t="s">
        <v>696</v>
      </c>
      <c r="B627" s="2">
        <v>46229</v>
      </c>
      <c r="C627" t="s">
        <v>62</v>
      </c>
      <c r="D627" t="s">
        <v>63</v>
      </c>
      <c r="E627" t="s">
        <v>37</v>
      </c>
      <c r="F627" t="s">
        <v>38</v>
      </c>
      <c r="G627">
        <v>239</v>
      </c>
      <c r="H627">
        <v>122</v>
      </c>
      <c r="I627">
        <v>98</v>
      </c>
      <c r="J627">
        <v>263</v>
      </c>
      <c r="K627" s="3">
        <v>53.48</v>
      </c>
      <c r="L627" s="3">
        <v>14065.24</v>
      </c>
      <c r="M627" t="s">
        <v>24</v>
      </c>
    </row>
    <row r="628" spans="1:13">
      <c r="A628" t="s">
        <v>697</v>
      </c>
      <c r="B628" s="2">
        <v>46214</v>
      </c>
      <c r="C628" t="s">
        <v>99</v>
      </c>
      <c r="D628" t="s">
        <v>100</v>
      </c>
      <c r="E628" t="s">
        <v>43</v>
      </c>
      <c r="F628" t="s">
        <v>44</v>
      </c>
      <c r="G628">
        <v>27</v>
      </c>
      <c r="H628">
        <v>82</v>
      </c>
      <c r="I628">
        <v>96</v>
      </c>
      <c r="J628">
        <v>13</v>
      </c>
      <c r="K628" s="3">
        <v>263.47000000000003</v>
      </c>
      <c r="L628" s="3">
        <v>3425.11</v>
      </c>
      <c r="M628" t="s">
        <v>49</v>
      </c>
    </row>
    <row r="629" spans="1:13">
      <c r="A629" t="s">
        <v>698</v>
      </c>
      <c r="B629" s="2">
        <v>46025</v>
      </c>
      <c r="C629" t="s">
        <v>116</v>
      </c>
      <c r="D629" t="s">
        <v>117</v>
      </c>
      <c r="E629" t="s">
        <v>22</v>
      </c>
      <c r="F629" t="s">
        <v>23</v>
      </c>
      <c r="G629">
        <v>340</v>
      </c>
      <c r="H629">
        <v>63</v>
      </c>
      <c r="I629">
        <v>57</v>
      </c>
      <c r="J629">
        <v>346</v>
      </c>
      <c r="K629" s="3">
        <v>185.7</v>
      </c>
      <c r="L629" s="3">
        <v>64252.2</v>
      </c>
      <c r="M629" t="s">
        <v>18</v>
      </c>
    </row>
    <row r="630" spans="1:13">
      <c r="A630" t="s">
        <v>699</v>
      </c>
      <c r="B630" s="2">
        <v>46089</v>
      </c>
      <c r="C630" t="s">
        <v>71</v>
      </c>
      <c r="D630" t="s">
        <v>72</v>
      </c>
      <c r="E630" t="s">
        <v>22</v>
      </c>
      <c r="F630" t="s">
        <v>68</v>
      </c>
      <c r="G630">
        <v>72</v>
      </c>
      <c r="H630">
        <v>98</v>
      </c>
      <c r="I630">
        <v>128</v>
      </c>
      <c r="J630">
        <v>42</v>
      </c>
      <c r="K630" s="3">
        <v>11.41</v>
      </c>
      <c r="L630" s="3">
        <v>479.22</v>
      </c>
      <c r="M630" t="s">
        <v>49</v>
      </c>
    </row>
    <row r="631" spans="1:13">
      <c r="A631" t="s">
        <v>700</v>
      </c>
      <c r="B631" s="2">
        <v>46046</v>
      </c>
      <c r="C631" t="s">
        <v>31</v>
      </c>
      <c r="D631" t="s">
        <v>32</v>
      </c>
      <c r="E631" t="s">
        <v>28</v>
      </c>
      <c r="F631" t="s">
        <v>33</v>
      </c>
      <c r="G631">
        <v>172</v>
      </c>
      <c r="H631">
        <v>74</v>
      </c>
      <c r="I631">
        <v>116</v>
      </c>
      <c r="J631">
        <v>130</v>
      </c>
      <c r="K631" s="3">
        <v>82.07</v>
      </c>
      <c r="L631" s="3">
        <v>10669.1</v>
      </c>
      <c r="M631" t="s">
        <v>24</v>
      </c>
    </row>
    <row r="632" spans="1:13">
      <c r="A632" t="s">
        <v>701</v>
      </c>
      <c r="B632" s="2">
        <v>46195</v>
      </c>
      <c r="C632" t="s">
        <v>59</v>
      </c>
      <c r="D632" t="s">
        <v>60</v>
      </c>
      <c r="E632" t="s">
        <v>16</v>
      </c>
      <c r="F632" t="s">
        <v>17</v>
      </c>
      <c r="G632">
        <v>242</v>
      </c>
      <c r="H632">
        <v>175</v>
      </c>
      <c r="I632">
        <v>34</v>
      </c>
      <c r="J632">
        <v>383</v>
      </c>
      <c r="K632" s="3">
        <v>62.45</v>
      </c>
      <c r="L632" s="3">
        <v>23918.35</v>
      </c>
      <c r="M632" t="s">
        <v>18</v>
      </c>
    </row>
    <row r="633" spans="1:13">
      <c r="A633" t="s">
        <v>702</v>
      </c>
      <c r="B633" s="2">
        <v>46119</v>
      </c>
      <c r="C633" t="s">
        <v>41</v>
      </c>
      <c r="D633" t="s">
        <v>42</v>
      </c>
      <c r="E633" t="s">
        <v>43</v>
      </c>
      <c r="F633" t="s">
        <v>44</v>
      </c>
      <c r="G633">
        <v>104</v>
      </c>
      <c r="H633">
        <v>103</v>
      </c>
      <c r="I633">
        <v>4</v>
      </c>
      <c r="J633">
        <v>203</v>
      </c>
      <c r="K633" s="3">
        <v>136.77000000000001</v>
      </c>
      <c r="L633" s="3">
        <v>27764.31</v>
      </c>
      <c r="M633" t="s">
        <v>24</v>
      </c>
    </row>
    <row r="634" spans="1:13">
      <c r="A634" t="s">
        <v>703</v>
      </c>
      <c r="B634" s="2">
        <v>46131</v>
      </c>
      <c r="C634" t="s">
        <v>77</v>
      </c>
      <c r="D634" t="s">
        <v>78</v>
      </c>
      <c r="E634" t="s">
        <v>16</v>
      </c>
      <c r="F634" t="s">
        <v>17</v>
      </c>
      <c r="G634">
        <v>395</v>
      </c>
      <c r="H634">
        <v>5</v>
      </c>
      <c r="I634">
        <v>150</v>
      </c>
      <c r="J634">
        <v>250</v>
      </c>
      <c r="K634" s="3">
        <v>207.16</v>
      </c>
      <c r="L634" s="3">
        <v>51790</v>
      </c>
      <c r="M634" t="s">
        <v>49</v>
      </c>
    </row>
    <row r="635" spans="1:13">
      <c r="A635" t="s">
        <v>704</v>
      </c>
      <c r="B635" s="2">
        <v>46042</v>
      </c>
      <c r="C635" t="s">
        <v>41</v>
      </c>
      <c r="D635" t="s">
        <v>42</v>
      </c>
      <c r="E635" t="s">
        <v>43</v>
      </c>
      <c r="F635" t="s">
        <v>44</v>
      </c>
      <c r="G635">
        <v>212</v>
      </c>
      <c r="H635">
        <v>163</v>
      </c>
      <c r="I635">
        <v>65</v>
      </c>
      <c r="J635">
        <v>310</v>
      </c>
      <c r="K635" s="3">
        <v>149.19</v>
      </c>
      <c r="L635" s="3">
        <v>46248.9</v>
      </c>
      <c r="M635" t="s">
        <v>24</v>
      </c>
    </row>
    <row r="636" spans="1:13">
      <c r="A636" t="s">
        <v>705</v>
      </c>
      <c r="B636" s="2">
        <v>46047</v>
      </c>
      <c r="C636" t="s">
        <v>86</v>
      </c>
      <c r="D636" t="s">
        <v>87</v>
      </c>
      <c r="E636" t="s">
        <v>43</v>
      </c>
      <c r="F636" t="s">
        <v>44</v>
      </c>
      <c r="G636">
        <v>358</v>
      </c>
      <c r="H636">
        <v>27</v>
      </c>
      <c r="I636">
        <v>167</v>
      </c>
      <c r="J636">
        <v>218</v>
      </c>
      <c r="K636" s="3">
        <v>10.46</v>
      </c>
      <c r="L636" s="3">
        <v>2280.2800000000002</v>
      </c>
      <c r="M636" t="s">
        <v>49</v>
      </c>
    </row>
    <row r="637" spans="1:13">
      <c r="A637" t="s">
        <v>706</v>
      </c>
      <c r="B637" s="2">
        <v>46236</v>
      </c>
      <c r="C637" t="s">
        <v>20</v>
      </c>
      <c r="D637" t="s">
        <v>21</v>
      </c>
      <c r="E637" t="s">
        <v>22</v>
      </c>
      <c r="F637" t="s">
        <v>23</v>
      </c>
      <c r="G637">
        <v>247</v>
      </c>
      <c r="H637">
        <v>97</v>
      </c>
      <c r="I637">
        <v>31</v>
      </c>
      <c r="J637">
        <v>313</v>
      </c>
      <c r="K637" s="3">
        <v>65.319999999999993</v>
      </c>
      <c r="L637" s="3">
        <v>20445.16</v>
      </c>
      <c r="M637" t="s">
        <v>18</v>
      </c>
    </row>
    <row r="638" spans="1:13">
      <c r="A638" t="s">
        <v>707</v>
      </c>
      <c r="B638" s="2">
        <v>46128</v>
      </c>
      <c r="C638" t="s">
        <v>77</v>
      </c>
      <c r="D638" t="s">
        <v>78</v>
      </c>
      <c r="E638" t="s">
        <v>16</v>
      </c>
      <c r="F638" t="s">
        <v>17</v>
      </c>
      <c r="G638">
        <v>375</v>
      </c>
      <c r="H638">
        <v>175</v>
      </c>
      <c r="I638">
        <v>161</v>
      </c>
      <c r="J638">
        <v>389</v>
      </c>
      <c r="K638" s="3">
        <v>190.75</v>
      </c>
      <c r="L638" s="3">
        <v>74201.75</v>
      </c>
      <c r="M638" t="s">
        <v>18</v>
      </c>
    </row>
    <row r="639" spans="1:13">
      <c r="A639" t="s">
        <v>708</v>
      </c>
      <c r="B639" s="2">
        <v>46289</v>
      </c>
      <c r="C639" t="s">
        <v>20</v>
      </c>
      <c r="D639" t="s">
        <v>21</v>
      </c>
      <c r="E639" t="s">
        <v>22</v>
      </c>
      <c r="F639" t="s">
        <v>23</v>
      </c>
      <c r="G639">
        <v>158</v>
      </c>
      <c r="H639">
        <v>159</v>
      </c>
      <c r="I639">
        <v>155</v>
      </c>
      <c r="J639">
        <v>162</v>
      </c>
      <c r="K639" s="3">
        <v>66.91</v>
      </c>
      <c r="L639" s="3">
        <v>10839.42</v>
      </c>
      <c r="M639" t="s">
        <v>18</v>
      </c>
    </row>
    <row r="640" spans="1:13">
      <c r="A640" t="s">
        <v>709</v>
      </c>
      <c r="B640" s="2">
        <v>46284</v>
      </c>
      <c r="C640" t="s">
        <v>20</v>
      </c>
      <c r="D640" t="s">
        <v>21</v>
      </c>
      <c r="E640" t="s">
        <v>22</v>
      </c>
      <c r="F640" t="s">
        <v>23</v>
      </c>
      <c r="G640">
        <v>388</v>
      </c>
      <c r="H640">
        <v>158</v>
      </c>
      <c r="I640">
        <v>30</v>
      </c>
      <c r="J640">
        <v>516</v>
      </c>
      <c r="K640" s="3">
        <v>62.58</v>
      </c>
      <c r="L640" s="3">
        <v>32291.279999999999</v>
      </c>
      <c r="M640" t="s">
        <v>49</v>
      </c>
    </row>
    <row r="641" spans="1:13">
      <c r="A641" t="s">
        <v>710</v>
      </c>
      <c r="B641" s="2">
        <v>46124</v>
      </c>
      <c r="C641" t="s">
        <v>124</v>
      </c>
      <c r="D641" t="s">
        <v>125</v>
      </c>
      <c r="E641" t="s">
        <v>22</v>
      </c>
      <c r="F641" t="s">
        <v>23</v>
      </c>
      <c r="G641">
        <v>331</v>
      </c>
      <c r="H641">
        <v>51</v>
      </c>
      <c r="I641">
        <v>199</v>
      </c>
      <c r="J641">
        <v>183</v>
      </c>
      <c r="K641" s="3">
        <v>148.11000000000001</v>
      </c>
      <c r="L641" s="3">
        <v>27104.13</v>
      </c>
      <c r="M641" t="s">
        <v>24</v>
      </c>
    </row>
    <row r="642" spans="1:13">
      <c r="A642" t="s">
        <v>711</v>
      </c>
      <c r="B642" s="2">
        <v>46206</v>
      </c>
      <c r="C642" t="s">
        <v>99</v>
      </c>
      <c r="D642" t="s">
        <v>100</v>
      </c>
      <c r="E642" t="s">
        <v>43</v>
      </c>
      <c r="F642" t="s">
        <v>44</v>
      </c>
      <c r="G642">
        <v>380</v>
      </c>
      <c r="H642">
        <v>104</v>
      </c>
      <c r="I642">
        <v>75</v>
      </c>
      <c r="J642">
        <v>409</v>
      </c>
      <c r="K642" s="3">
        <v>236.54</v>
      </c>
      <c r="L642" s="3">
        <v>96744.86</v>
      </c>
      <c r="M642" t="s">
        <v>24</v>
      </c>
    </row>
    <row r="643" spans="1:13">
      <c r="A643" t="s">
        <v>712</v>
      </c>
      <c r="B643" s="2">
        <v>46129</v>
      </c>
      <c r="C643" t="s">
        <v>124</v>
      </c>
      <c r="D643" t="s">
        <v>125</v>
      </c>
      <c r="E643" t="s">
        <v>22</v>
      </c>
      <c r="F643" t="s">
        <v>23</v>
      </c>
      <c r="G643">
        <v>372</v>
      </c>
      <c r="H643">
        <v>123</v>
      </c>
      <c r="I643">
        <v>84</v>
      </c>
      <c r="J643">
        <v>411</v>
      </c>
      <c r="K643" s="3">
        <v>147.41</v>
      </c>
      <c r="L643" s="3">
        <v>60585.51</v>
      </c>
      <c r="M643" t="s">
        <v>49</v>
      </c>
    </row>
    <row r="644" spans="1:13">
      <c r="A644" t="s">
        <v>713</v>
      </c>
      <c r="B644" s="2">
        <v>46079</v>
      </c>
      <c r="C644" t="s">
        <v>31</v>
      </c>
      <c r="D644" t="s">
        <v>32</v>
      </c>
      <c r="E644" t="s">
        <v>28</v>
      </c>
      <c r="F644" t="s">
        <v>33</v>
      </c>
      <c r="G644">
        <v>447</v>
      </c>
      <c r="H644">
        <v>146</v>
      </c>
      <c r="I644">
        <v>171</v>
      </c>
      <c r="J644">
        <v>422</v>
      </c>
      <c r="K644" s="3">
        <v>79.11</v>
      </c>
      <c r="L644" s="3">
        <v>33384.42</v>
      </c>
      <c r="M644" t="s">
        <v>49</v>
      </c>
    </row>
    <row r="645" spans="1:13">
      <c r="A645" t="s">
        <v>714</v>
      </c>
      <c r="B645" s="2">
        <v>46061</v>
      </c>
      <c r="C645" t="s">
        <v>59</v>
      </c>
      <c r="D645" t="s">
        <v>60</v>
      </c>
      <c r="E645" t="s">
        <v>16</v>
      </c>
      <c r="F645" t="s">
        <v>17</v>
      </c>
      <c r="G645">
        <v>390</v>
      </c>
      <c r="H645">
        <v>25</v>
      </c>
      <c r="I645">
        <v>65</v>
      </c>
      <c r="J645">
        <v>350</v>
      </c>
      <c r="K645" s="3">
        <v>65.540000000000006</v>
      </c>
      <c r="L645" s="3">
        <v>22939</v>
      </c>
      <c r="M645" t="s">
        <v>18</v>
      </c>
    </row>
    <row r="646" spans="1:13">
      <c r="A646" t="s">
        <v>715</v>
      </c>
      <c r="B646" s="2">
        <v>46158</v>
      </c>
      <c r="C646" t="s">
        <v>71</v>
      </c>
      <c r="D646" t="s">
        <v>72</v>
      </c>
      <c r="E646" t="s">
        <v>22</v>
      </c>
      <c r="F646" t="s">
        <v>68</v>
      </c>
      <c r="G646">
        <v>257</v>
      </c>
      <c r="H646">
        <v>12</v>
      </c>
      <c r="I646">
        <v>25</v>
      </c>
      <c r="J646">
        <v>244</v>
      </c>
      <c r="K646" s="3">
        <v>11.82</v>
      </c>
      <c r="L646" s="3">
        <v>2884.08</v>
      </c>
      <c r="M646" t="s">
        <v>49</v>
      </c>
    </row>
    <row r="647" spans="1:13">
      <c r="A647" t="s">
        <v>716</v>
      </c>
      <c r="B647" s="2">
        <v>46207</v>
      </c>
      <c r="C647" t="s">
        <v>71</v>
      </c>
      <c r="D647" t="s">
        <v>72</v>
      </c>
      <c r="E647" t="s">
        <v>22</v>
      </c>
      <c r="F647" t="s">
        <v>68</v>
      </c>
      <c r="G647">
        <v>430</v>
      </c>
      <c r="H647">
        <v>173</v>
      </c>
      <c r="I647">
        <v>80</v>
      </c>
      <c r="J647">
        <v>523</v>
      </c>
      <c r="K647" s="3">
        <v>11.12</v>
      </c>
      <c r="L647" s="3">
        <v>5815.76</v>
      </c>
      <c r="M647" t="s">
        <v>49</v>
      </c>
    </row>
    <row r="648" spans="1:13">
      <c r="A648" t="s">
        <v>717</v>
      </c>
      <c r="B648" s="2">
        <v>46046</v>
      </c>
      <c r="C648" t="s">
        <v>20</v>
      </c>
      <c r="D648" t="s">
        <v>21</v>
      </c>
      <c r="E648" t="s">
        <v>22</v>
      </c>
      <c r="F648" t="s">
        <v>23</v>
      </c>
      <c r="G648">
        <v>24</v>
      </c>
      <c r="H648">
        <v>35</v>
      </c>
      <c r="I648">
        <v>42</v>
      </c>
      <c r="J648">
        <v>17</v>
      </c>
      <c r="K648" s="3">
        <v>66.36</v>
      </c>
      <c r="L648" s="3">
        <v>1128.1199999999999</v>
      </c>
      <c r="M648" t="s">
        <v>18</v>
      </c>
    </row>
    <row r="649" spans="1:13">
      <c r="A649" t="s">
        <v>718</v>
      </c>
      <c r="B649" s="2">
        <v>46247</v>
      </c>
      <c r="C649" t="s">
        <v>41</v>
      </c>
      <c r="D649" t="s">
        <v>42</v>
      </c>
      <c r="E649" t="s">
        <v>43</v>
      </c>
      <c r="F649" t="s">
        <v>44</v>
      </c>
      <c r="G649">
        <v>338</v>
      </c>
      <c r="H649">
        <v>68</v>
      </c>
      <c r="I649">
        <v>187</v>
      </c>
      <c r="J649">
        <v>219</v>
      </c>
      <c r="K649" s="3">
        <v>133.66999999999999</v>
      </c>
      <c r="L649" s="3">
        <v>29273.73</v>
      </c>
      <c r="M649" t="s">
        <v>18</v>
      </c>
    </row>
    <row r="650" spans="1:13">
      <c r="A650" t="s">
        <v>719</v>
      </c>
      <c r="B650" s="2">
        <v>46081</v>
      </c>
      <c r="C650" t="s">
        <v>14</v>
      </c>
      <c r="D650" t="s">
        <v>15</v>
      </c>
      <c r="E650" t="s">
        <v>16</v>
      </c>
      <c r="F650" t="s">
        <v>17</v>
      </c>
      <c r="G650">
        <v>225</v>
      </c>
      <c r="H650">
        <v>102</v>
      </c>
      <c r="I650">
        <v>116</v>
      </c>
      <c r="J650">
        <v>211</v>
      </c>
      <c r="K650" s="3">
        <v>183.49</v>
      </c>
      <c r="L650" s="3">
        <v>38716.39</v>
      </c>
      <c r="M650" t="s">
        <v>18</v>
      </c>
    </row>
    <row r="651" spans="1:13">
      <c r="A651" t="s">
        <v>720</v>
      </c>
      <c r="B651" s="2">
        <v>46238</v>
      </c>
      <c r="C651" t="s">
        <v>124</v>
      </c>
      <c r="D651" t="s">
        <v>125</v>
      </c>
      <c r="E651" t="s">
        <v>22</v>
      </c>
      <c r="F651" t="s">
        <v>23</v>
      </c>
      <c r="G651">
        <v>352</v>
      </c>
      <c r="H651">
        <v>42</v>
      </c>
      <c r="I651">
        <v>28</v>
      </c>
      <c r="J651">
        <v>366</v>
      </c>
      <c r="K651" s="3">
        <v>144.9</v>
      </c>
      <c r="L651" s="3">
        <v>53033.4</v>
      </c>
      <c r="M651" t="s">
        <v>24</v>
      </c>
    </row>
    <row r="652" spans="1:13">
      <c r="A652" t="s">
        <v>721</v>
      </c>
      <c r="B652" s="2">
        <v>46104</v>
      </c>
      <c r="C652" t="s">
        <v>86</v>
      </c>
      <c r="D652" t="s">
        <v>87</v>
      </c>
      <c r="E652" t="s">
        <v>43</v>
      </c>
      <c r="F652" t="s">
        <v>44</v>
      </c>
      <c r="G652">
        <v>73</v>
      </c>
      <c r="H652">
        <v>106</v>
      </c>
      <c r="I652">
        <v>151</v>
      </c>
      <c r="J652">
        <v>28</v>
      </c>
      <c r="K652" s="3">
        <v>9.9</v>
      </c>
      <c r="L652" s="3">
        <v>277.2</v>
      </c>
      <c r="M652" t="s">
        <v>24</v>
      </c>
    </row>
    <row r="653" spans="1:13">
      <c r="A653" t="s">
        <v>722</v>
      </c>
      <c r="B653" s="2">
        <v>46115</v>
      </c>
      <c r="C653" t="s">
        <v>55</v>
      </c>
      <c r="D653" t="s">
        <v>56</v>
      </c>
      <c r="E653" t="s">
        <v>28</v>
      </c>
      <c r="F653" t="s">
        <v>29</v>
      </c>
      <c r="G653">
        <v>332</v>
      </c>
      <c r="H653">
        <v>97</v>
      </c>
      <c r="I653">
        <v>199</v>
      </c>
      <c r="J653">
        <v>230</v>
      </c>
      <c r="K653" s="3">
        <v>178.88</v>
      </c>
      <c r="L653" s="3">
        <v>41142.400000000001</v>
      </c>
      <c r="M653" t="s">
        <v>49</v>
      </c>
    </row>
    <row r="654" spans="1:13">
      <c r="A654" t="s">
        <v>723</v>
      </c>
      <c r="B654" s="2">
        <v>46270</v>
      </c>
      <c r="C654" t="s">
        <v>77</v>
      </c>
      <c r="D654" t="s">
        <v>78</v>
      </c>
      <c r="E654" t="s">
        <v>16</v>
      </c>
      <c r="F654" t="s">
        <v>17</v>
      </c>
      <c r="G654">
        <v>491</v>
      </c>
      <c r="H654">
        <v>124</v>
      </c>
      <c r="I654">
        <v>28</v>
      </c>
      <c r="J654">
        <v>587</v>
      </c>
      <c r="K654" s="3">
        <v>219.84</v>
      </c>
      <c r="L654" s="3">
        <v>129046.08</v>
      </c>
      <c r="M654" t="s">
        <v>18</v>
      </c>
    </row>
    <row r="655" spans="1:13">
      <c r="A655" t="s">
        <v>724</v>
      </c>
      <c r="B655" s="2">
        <v>46055</v>
      </c>
      <c r="C655" t="s">
        <v>86</v>
      </c>
      <c r="D655" t="s">
        <v>87</v>
      </c>
      <c r="E655" t="s">
        <v>43</v>
      </c>
      <c r="F655" t="s">
        <v>44</v>
      </c>
      <c r="G655">
        <v>153</v>
      </c>
      <c r="H655">
        <v>167</v>
      </c>
      <c r="I655">
        <v>80</v>
      </c>
      <c r="J655">
        <v>240</v>
      </c>
      <c r="K655" s="3">
        <v>9.15</v>
      </c>
      <c r="L655" s="3">
        <v>2196</v>
      </c>
      <c r="M655" t="s">
        <v>24</v>
      </c>
    </row>
    <row r="656" spans="1:13">
      <c r="A656" t="s">
        <v>725</v>
      </c>
      <c r="B656" s="2">
        <v>46137</v>
      </c>
      <c r="C656" t="s">
        <v>59</v>
      </c>
      <c r="D656" t="s">
        <v>60</v>
      </c>
      <c r="E656" t="s">
        <v>16</v>
      </c>
      <c r="F656" t="s">
        <v>17</v>
      </c>
      <c r="G656">
        <v>362</v>
      </c>
      <c r="H656">
        <v>86</v>
      </c>
      <c r="I656">
        <v>132</v>
      </c>
      <c r="J656">
        <v>316</v>
      </c>
      <c r="K656" s="3">
        <v>64.3</v>
      </c>
      <c r="L656" s="3">
        <v>20318.8</v>
      </c>
      <c r="M656" t="s">
        <v>24</v>
      </c>
    </row>
    <row r="657" spans="1:13">
      <c r="A657" t="s">
        <v>726</v>
      </c>
      <c r="B657" s="2">
        <v>46071</v>
      </c>
      <c r="C657" t="s">
        <v>80</v>
      </c>
      <c r="D657" t="s">
        <v>81</v>
      </c>
      <c r="E657" t="s">
        <v>28</v>
      </c>
      <c r="F657" t="s">
        <v>33</v>
      </c>
      <c r="G657">
        <v>241</v>
      </c>
      <c r="H657">
        <v>169</v>
      </c>
      <c r="I657">
        <v>186</v>
      </c>
      <c r="J657">
        <v>224</v>
      </c>
      <c r="K657" s="3">
        <v>4.6100000000000003</v>
      </c>
      <c r="L657" s="3">
        <v>1032.6400000000001</v>
      </c>
      <c r="M657" t="s">
        <v>18</v>
      </c>
    </row>
    <row r="658" spans="1:13">
      <c r="A658" t="s">
        <v>727</v>
      </c>
      <c r="B658" s="2">
        <v>46099</v>
      </c>
      <c r="C658" t="s">
        <v>136</v>
      </c>
      <c r="D658" t="s">
        <v>137</v>
      </c>
      <c r="E658" t="s">
        <v>37</v>
      </c>
      <c r="F658" t="s">
        <v>38</v>
      </c>
      <c r="G658">
        <v>449</v>
      </c>
      <c r="H658">
        <v>142</v>
      </c>
      <c r="I658">
        <v>156</v>
      </c>
      <c r="J658">
        <v>435</v>
      </c>
      <c r="K658" s="3">
        <v>9.61</v>
      </c>
      <c r="L658" s="3">
        <v>4180.3500000000004</v>
      </c>
      <c r="M658" t="s">
        <v>24</v>
      </c>
    </row>
    <row r="659" spans="1:13">
      <c r="A659" t="s">
        <v>728</v>
      </c>
      <c r="B659" s="2">
        <v>46281</v>
      </c>
      <c r="C659" t="s">
        <v>14</v>
      </c>
      <c r="D659" t="s">
        <v>15</v>
      </c>
      <c r="E659" t="s">
        <v>16</v>
      </c>
      <c r="F659" t="s">
        <v>17</v>
      </c>
      <c r="G659">
        <v>454</v>
      </c>
      <c r="H659">
        <v>120</v>
      </c>
      <c r="I659">
        <v>218</v>
      </c>
      <c r="J659">
        <v>356</v>
      </c>
      <c r="K659" s="3">
        <v>190.32</v>
      </c>
      <c r="L659" s="3">
        <v>67753.919999999998</v>
      </c>
      <c r="M659" t="s">
        <v>49</v>
      </c>
    </row>
    <row r="660" spans="1:13">
      <c r="A660" t="s">
        <v>729</v>
      </c>
      <c r="B660" s="2">
        <v>46274</v>
      </c>
      <c r="C660" t="s">
        <v>31</v>
      </c>
      <c r="D660" t="s">
        <v>32</v>
      </c>
      <c r="E660" t="s">
        <v>28</v>
      </c>
      <c r="F660" t="s">
        <v>33</v>
      </c>
      <c r="G660">
        <v>184</v>
      </c>
      <c r="H660">
        <v>61</v>
      </c>
      <c r="I660">
        <v>84</v>
      </c>
      <c r="J660">
        <v>161</v>
      </c>
      <c r="K660" s="3">
        <v>85.14</v>
      </c>
      <c r="L660" s="3">
        <v>13707.54</v>
      </c>
      <c r="M660" t="s">
        <v>49</v>
      </c>
    </row>
    <row r="661" spans="1:13">
      <c r="A661" t="s">
        <v>730</v>
      </c>
      <c r="B661" s="2">
        <v>46137</v>
      </c>
      <c r="C661" t="s">
        <v>59</v>
      </c>
      <c r="D661" t="s">
        <v>60</v>
      </c>
      <c r="E661" t="s">
        <v>16</v>
      </c>
      <c r="F661" t="s">
        <v>17</v>
      </c>
      <c r="G661">
        <v>301</v>
      </c>
      <c r="H661">
        <v>164</v>
      </c>
      <c r="I661">
        <v>96</v>
      </c>
      <c r="J661">
        <v>369</v>
      </c>
      <c r="K661" s="3">
        <v>63.07</v>
      </c>
      <c r="L661" s="3">
        <v>23272.83</v>
      </c>
      <c r="M661" t="s">
        <v>49</v>
      </c>
    </row>
    <row r="662" spans="1:13">
      <c r="A662" t="s">
        <v>731</v>
      </c>
      <c r="B662" s="2">
        <v>46258</v>
      </c>
      <c r="C662" t="s">
        <v>31</v>
      </c>
      <c r="D662" t="s">
        <v>32</v>
      </c>
      <c r="E662" t="s">
        <v>28</v>
      </c>
      <c r="F662" t="s">
        <v>33</v>
      </c>
      <c r="G662">
        <v>247</v>
      </c>
      <c r="H662">
        <v>146</v>
      </c>
      <c r="I662">
        <v>114</v>
      </c>
      <c r="J662">
        <v>279</v>
      </c>
      <c r="K662" s="3">
        <v>73.959999999999994</v>
      </c>
      <c r="L662" s="3">
        <v>20634.84</v>
      </c>
      <c r="M662" t="s">
        <v>18</v>
      </c>
    </row>
    <row r="663" spans="1:13">
      <c r="A663" t="s">
        <v>732</v>
      </c>
      <c r="B663" s="2">
        <v>46184</v>
      </c>
      <c r="C663" t="s">
        <v>55</v>
      </c>
      <c r="D663" t="s">
        <v>56</v>
      </c>
      <c r="E663" t="s">
        <v>28</v>
      </c>
      <c r="F663" t="s">
        <v>29</v>
      </c>
      <c r="G663">
        <v>80</v>
      </c>
      <c r="H663">
        <v>127</v>
      </c>
      <c r="I663">
        <v>190</v>
      </c>
      <c r="J663">
        <v>17</v>
      </c>
      <c r="K663" s="3">
        <v>187.51</v>
      </c>
      <c r="L663" s="3">
        <v>3187.67</v>
      </c>
      <c r="M663" t="s">
        <v>49</v>
      </c>
    </row>
    <row r="664" spans="1:13">
      <c r="A664" t="s">
        <v>733</v>
      </c>
      <c r="B664" s="2">
        <v>46234</v>
      </c>
      <c r="C664" t="s">
        <v>136</v>
      </c>
      <c r="D664" t="s">
        <v>137</v>
      </c>
      <c r="E664" t="s">
        <v>37</v>
      </c>
      <c r="F664" t="s">
        <v>38</v>
      </c>
      <c r="G664">
        <v>38</v>
      </c>
      <c r="H664">
        <v>142</v>
      </c>
      <c r="I664">
        <v>140</v>
      </c>
      <c r="J664">
        <v>40</v>
      </c>
      <c r="K664" s="3">
        <v>9.52</v>
      </c>
      <c r="L664" s="3">
        <v>380.8</v>
      </c>
      <c r="M664" t="s">
        <v>49</v>
      </c>
    </row>
    <row r="665" spans="1:13">
      <c r="A665" t="s">
        <v>734</v>
      </c>
      <c r="B665" s="2">
        <v>46178</v>
      </c>
      <c r="C665" t="s">
        <v>80</v>
      </c>
      <c r="D665" t="s">
        <v>81</v>
      </c>
      <c r="E665" t="s">
        <v>28</v>
      </c>
      <c r="F665" t="s">
        <v>33</v>
      </c>
      <c r="G665">
        <v>475</v>
      </c>
      <c r="H665">
        <v>130</v>
      </c>
      <c r="I665">
        <v>143</v>
      </c>
      <c r="J665">
        <v>462</v>
      </c>
      <c r="K665" s="3">
        <v>4.58</v>
      </c>
      <c r="L665" s="3">
        <v>2115.96</v>
      </c>
      <c r="M665" t="s">
        <v>24</v>
      </c>
    </row>
    <row r="666" spans="1:13">
      <c r="A666" t="s">
        <v>735</v>
      </c>
      <c r="B666" s="2">
        <v>46197</v>
      </c>
      <c r="C666" t="s">
        <v>55</v>
      </c>
      <c r="D666" t="s">
        <v>56</v>
      </c>
      <c r="E666" t="s">
        <v>28</v>
      </c>
      <c r="F666" t="s">
        <v>29</v>
      </c>
      <c r="G666">
        <v>206</v>
      </c>
      <c r="H666">
        <v>13</v>
      </c>
      <c r="I666">
        <v>209</v>
      </c>
      <c r="J666">
        <v>10</v>
      </c>
      <c r="K666" s="3">
        <v>174.9</v>
      </c>
      <c r="L666" s="3">
        <v>1749</v>
      </c>
      <c r="M666" t="s">
        <v>18</v>
      </c>
    </row>
    <row r="667" spans="1:13">
      <c r="A667" t="s">
        <v>736</v>
      </c>
      <c r="B667" s="2">
        <v>46265</v>
      </c>
      <c r="C667" t="s">
        <v>66</v>
      </c>
      <c r="D667" t="s">
        <v>67</v>
      </c>
      <c r="E667" t="s">
        <v>16</v>
      </c>
      <c r="F667" t="s">
        <v>68</v>
      </c>
      <c r="G667">
        <v>386</v>
      </c>
      <c r="H667">
        <v>168</v>
      </c>
      <c r="I667">
        <v>93</v>
      </c>
      <c r="J667">
        <v>461</v>
      </c>
      <c r="K667" s="3">
        <v>65.760000000000005</v>
      </c>
      <c r="L667" s="3">
        <v>30315.360000000001</v>
      </c>
      <c r="M667" t="s">
        <v>49</v>
      </c>
    </row>
    <row r="668" spans="1:13">
      <c r="A668" t="s">
        <v>737</v>
      </c>
      <c r="B668" s="2">
        <v>46136</v>
      </c>
      <c r="C668" t="s">
        <v>20</v>
      </c>
      <c r="D668" t="s">
        <v>21</v>
      </c>
      <c r="E668" t="s">
        <v>22</v>
      </c>
      <c r="F668" t="s">
        <v>23</v>
      </c>
      <c r="G668">
        <v>21</v>
      </c>
      <c r="H668">
        <v>87</v>
      </c>
      <c r="I668">
        <v>45</v>
      </c>
      <c r="J668">
        <v>63</v>
      </c>
      <c r="K668" s="3">
        <v>68.25</v>
      </c>
      <c r="L668" s="3">
        <v>4299.75</v>
      </c>
      <c r="M668" t="s">
        <v>18</v>
      </c>
    </row>
    <row r="669" spans="1:13">
      <c r="A669" t="s">
        <v>738</v>
      </c>
      <c r="B669" s="2">
        <v>46290</v>
      </c>
      <c r="C669" t="s">
        <v>47</v>
      </c>
      <c r="D669" t="s">
        <v>48</v>
      </c>
      <c r="E669" t="s">
        <v>43</v>
      </c>
      <c r="F669" t="s">
        <v>44</v>
      </c>
      <c r="G669">
        <v>211</v>
      </c>
      <c r="H669">
        <v>179</v>
      </c>
      <c r="I669">
        <v>27</v>
      </c>
      <c r="J669">
        <v>363</v>
      </c>
      <c r="K669" s="3">
        <v>154.15</v>
      </c>
      <c r="L669" s="3">
        <v>55956.45</v>
      </c>
      <c r="M669" t="s">
        <v>49</v>
      </c>
    </row>
    <row r="670" spans="1:13">
      <c r="A670" t="s">
        <v>739</v>
      </c>
      <c r="B670" s="2">
        <v>46094</v>
      </c>
      <c r="C670" t="s">
        <v>124</v>
      </c>
      <c r="D670" t="s">
        <v>125</v>
      </c>
      <c r="E670" t="s">
        <v>22</v>
      </c>
      <c r="F670" t="s">
        <v>23</v>
      </c>
      <c r="G670">
        <v>440</v>
      </c>
      <c r="H670">
        <v>104</v>
      </c>
      <c r="I670">
        <v>27</v>
      </c>
      <c r="J670">
        <v>517</v>
      </c>
      <c r="K670" s="3">
        <v>147.9</v>
      </c>
      <c r="L670" s="3">
        <v>76464.3</v>
      </c>
      <c r="M670" t="s">
        <v>49</v>
      </c>
    </row>
    <row r="671" spans="1:13">
      <c r="A671" t="s">
        <v>740</v>
      </c>
      <c r="B671" s="2">
        <v>46084</v>
      </c>
      <c r="C671" t="s">
        <v>99</v>
      </c>
      <c r="D671" t="s">
        <v>100</v>
      </c>
      <c r="E671" t="s">
        <v>43</v>
      </c>
      <c r="F671" t="s">
        <v>44</v>
      </c>
      <c r="G671">
        <v>496</v>
      </c>
      <c r="H671">
        <v>100</v>
      </c>
      <c r="I671">
        <v>55</v>
      </c>
      <c r="J671">
        <v>541</v>
      </c>
      <c r="K671" s="3">
        <v>248.41</v>
      </c>
      <c r="L671" s="3">
        <v>134389.81</v>
      </c>
      <c r="M671" t="s">
        <v>49</v>
      </c>
    </row>
    <row r="672" spans="1:13">
      <c r="A672" t="s">
        <v>741</v>
      </c>
      <c r="B672" s="2">
        <v>46078</v>
      </c>
      <c r="C672" t="s">
        <v>66</v>
      </c>
      <c r="D672" t="s">
        <v>67</v>
      </c>
      <c r="E672" t="s">
        <v>16</v>
      </c>
      <c r="F672" t="s">
        <v>68</v>
      </c>
      <c r="G672">
        <v>407</v>
      </c>
      <c r="H672">
        <v>106</v>
      </c>
      <c r="I672">
        <v>11</v>
      </c>
      <c r="J672">
        <v>502</v>
      </c>
      <c r="K672" s="3">
        <v>67.900000000000006</v>
      </c>
      <c r="L672" s="3">
        <v>34085.800000000003</v>
      </c>
      <c r="M672" t="s">
        <v>24</v>
      </c>
    </row>
    <row r="673" spans="1:13">
      <c r="A673" t="s">
        <v>742</v>
      </c>
      <c r="B673" s="2">
        <v>46086</v>
      </c>
      <c r="C673" t="s">
        <v>35</v>
      </c>
      <c r="D673" t="s">
        <v>36</v>
      </c>
      <c r="E673" t="s">
        <v>37</v>
      </c>
      <c r="F673" t="s">
        <v>38</v>
      </c>
      <c r="G673">
        <v>415</v>
      </c>
      <c r="H673">
        <v>115</v>
      </c>
      <c r="I673">
        <v>117</v>
      </c>
      <c r="J673">
        <v>413</v>
      </c>
      <c r="K673" s="3">
        <v>232.97</v>
      </c>
      <c r="L673" s="3">
        <v>96216.61</v>
      </c>
      <c r="M673" t="s">
        <v>24</v>
      </c>
    </row>
    <row r="674" spans="1:13">
      <c r="A674" t="s">
        <v>743</v>
      </c>
      <c r="B674" s="2">
        <v>46278</v>
      </c>
      <c r="C674" t="s">
        <v>77</v>
      </c>
      <c r="D674" t="s">
        <v>78</v>
      </c>
      <c r="E674" t="s">
        <v>16</v>
      </c>
      <c r="F674" t="s">
        <v>17</v>
      </c>
      <c r="G674">
        <v>22</v>
      </c>
      <c r="H674">
        <v>135</v>
      </c>
      <c r="I674">
        <v>12</v>
      </c>
      <c r="J674">
        <v>145</v>
      </c>
      <c r="K674" s="3">
        <v>208.77</v>
      </c>
      <c r="L674" s="3">
        <v>30271.65</v>
      </c>
      <c r="M674" t="s">
        <v>18</v>
      </c>
    </row>
    <row r="675" spans="1:13">
      <c r="A675" t="s">
        <v>744</v>
      </c>
      <c r="B675" s="2">
        <v>46270</v>
      </c>
      <c r="C675" t="s">
        <v>35</v>
      </c>
      <c r="D675" t="s">
        <v>36</v>
      </c>
      <c r="E675" t="s">
        <v>37</v>
      </c>
      <c r="F675" t="s">
        <v>38</v>
      </c>
      <c r="G675">
        <v>493</v>
      </c>
      <c r="H675">
        <v>130</v>
      </c>
      <c r="I675">
        <v>199</v>
      </c>
      <c r="J675">
        <v>424</v>
      </c>
      <c r="K675" s="3">
        <v>242.52</v>
      </c>
      <c r="L675" s="3">
        <v>102828.48</v>
      </c>
      <c r="M675" t="s">
        <v>49</v>
      </c>
    </row>
    <row r="676" spans="1:13">
      <c r="A676" t="s">
        <v>745</v>
      </c>
      <c r="B676" s="2">
        <v>46111</v>
      </c>
      <c r="C676" t="s">
        <v>35</v>
      </c>
      <c r="D676" t="s">
        <v>36</v>
      </c>
      <c r="E676" t="s">
        <v>37</v>
      </c>
      <c r="F676" t="s">
        <v>38</v>
      </c>
      <c r="G676">
        <v>394</v>
      </c>
      <c r="H676">
        <v>32</v>
      </c>
      <c r="I676">
        <v>26</v>
      </c>
      <c r="J676">
        <v>400</v>
      </c>
      <c r="K676" s="3">
        <v>223.12</v>
      </c>
      <c r="L676" s="3">
        <v>89248</v>
      </c>
      <c r="M676" t="s">
        <v>24</v>
      </c>
    </row>
    <row r="677" spans="1:13">
      <c r="A677" t="s">
        <v>746</v>
      </c>
      <c r="B677" s="2">
        <v>46187</v>
      </c>
      <c r="C677" t="s">
        <v>80</v>
      </c>
      <c r="D677" t="s">
        <v>81</v>
      </c>
      <c r="E677" t="s">
        <v>28</v>
      </c>
      <c r="F677" t="s">
        <v>33</v>
      </c>
      <c r="G677">
        <v>278</v>
      </c>
      <c r="H677">
        <v>98</v>
      </c>
      <c r="I677">
        <v>107</v>
      </c>
      <c r="J677">
        <v>269</v>
      </c>
      <c r="K677" s="3">
        <v>5.17</v>
      </c>
      <c r="L677" s="3">
        <v>1390.73</v>
      </c>
      <c r="M677" t="s">
        <v>24</v>
      </c>
    </row>
    <row r="678" spans="1:13">
      <c r="A678" t="s">
        <v>747</v>
      </c>
      <c r="B678" s="2">
        <v>46163</v>
      </c>
      <c r="C678" t="s">
        <v>51</v>
      </c>
      <c r="D678" t="s">
        <v>52</v>
      </c>
      <c r="E678" t="s">
        <v>28</v>
      </c>
      <c r="F678" t="s">
        <v>33</v>
      </c>
      <c r="G678">
        <v>223</v>
      </c>
      <c r="H678">
        <v>87</v>
      </c>
      <c r="I678">
        <v>75</v>
      </c>
      <c r="J678">
        <v>235</v>
      </c>
      <c r="K678" s="3">
        <v>26.88</v>
      </c>
      <c r="L678" s="3">
        <v>6316.8</v>
      </c>
      <c r="M678" t="s">
        <v>49</v>
      </c>
    </row>
    <row r="679" spans="1:13">
      <c r="A679" t="s">
        <v>748</v>
      </c>
      <c r="B679" s="2">
        <v>46234</v>
      </c>
      <c r="C679" t="s">
        <v>77</v>
      </c>
      <c r="D679" t="s">
        <v>78</v>
      </c>
      <c r="E679" t="s">
        <v>16</v>
      </c>
      <c r="F679" t="s">
        <v>17</v>
      </c>
      <c r="G679">
        <v>328</v>
      </c>
      <c r="H679">
        <v>179</v>
      </c>
      <c r="I679">
        <v>191</v>
      </c>
      <c r="J679">
        <v>316</v>
      </c>
      <c r="K679" s="3">
        <v>207.41</v>
      </c>
      <c r="L679" s="3">
        <v>65541.56</v>
      </c>
      <c r="M679" t="s">
        <v>24</v>
      </c>
    </row>
    <row r="680" spans="1:13">
      <c r="A680" t="s">
        <v>749</v>
      </c>
      <c r="B680" s="2">
        <v>46183</v>
      </c>
      <c r="C680" t="s">
        <v>47</v>
      </c>
      <c r="D680" t="s">
        <v>48</v>
      </c>
      <c r="E680" t="s">
        <v>43</v>
      </c>
      <c r="F680" t="s">
        <v>44</v>
      </c>
      <c r="G680">
        <v>384</v>
      </c>
      <c r="H680">
        <v>141</v>
      </c>
      <c r="I680">
        <v>161</v>
      </c>
      <c r="J680">
        <v>364</v>
      </c>
      <c r="K680" s="3">
        <v>158.71</v>
      </c>
      <c r="L680" s="3">
        <v>57770.44</v>
      </c>
      <c r="M680" t="s">
        <v>49</v>
      </c>
    </row>
    <row r="681" spans="1:13">
      <c r="A681" t="s">
        <v>750</v>
      </c>
      <c r="B681" s="2">
        <v>46171</v>
      </c>
      <c r="C681" t="s">
        <v>80</v>
      </c>
      <c r="D681" t="s">
        <v>81</v>
      </c>
      <c r="E681" t="s">
        <v>28</v>
      </c>
      <c r="F681" t="s">
        <v>33</v>
      </c>
      <c r="G681">
        <v>371</v>
      </c>
      <c r="H681">
        <v>88</v>
      </c>
      <c r="I681">
        <v>172</v>
      </c>
      <c r="J681">
        <v>287</v>
      </c>
      <c r="K681" s="3">
        <v>4.5199999999999996</v>
      </c>
      <c r="L681" s="3">
        <v>1297.24</v>
      </c>
      <c r="M681" t="s">
        <v>24</v>
      </c>
    </row>
    <row r="682" spans="1:13">
      <c r="A682" t="s">
        <v>751</v>
      </c>
      <c r="B682" s="2">
        <v>46280</v>
      </c>
      <c r="C682" t="s">
        <v>14</v>
      </c>
      <c r="D682" t="s">
        <v>15</v>
      </c>
      <c r="E682" t="s">
        <v>16</v>
      </c>
      <c r="F682" t="s">
        <v>17</v>
      </c>
      <c r="G682">
        <v>297</v>
      </c>
      <c r="H682">
        <v>177</v>
      </c>
      <c r="I682">
        <v>163</v>
      </c>
      <c r="J682">
        <v>311</v>
      </c>
      <c r="K682" s="3">
        <v>185.03</v>
      </c>
      <c r="L682" s="3">
        <v>57544.33</v>
      </c>
      <c r="M682" t="s">
        <v>49</v>
      </c>
    </row>
    <row r="683" spans="1:13">
      <c r="A683" t="s">
        <v>752</v>
      </c>
      <c r="B683" s="2">
        <v>46268</v>
      </c>
      <c r="C683" t="s">
        <v>41</v>
      </c>
      <c r="D683" t="s">
        <v>42</v>
      </c>
      <c r="E683" t="s">
        <v>43</v>
      </c>
      <c r="F683" t="s">
        <v>44</v>
      </c>
      <c r="G683">
        <v>318</v>
      </c>
      <c r="H683">
        <v>146</v>
      </c>
      <c r="I683">
        <v>170</v>
      </c>
      <c r="J683">
        <v>294</v>
      </c>
      <c r="K683" s="3">
        <v>147.79</v>
      </c>
      <c r="L683" s="3">
        <v>43450.26</v>
      </c>
      <c r="M683" t="s">
        <v>24</v>
      </c>
    </row>
    <row r="684" spans="1:13">
      <c r="A684" t="s">
        <v>753</v>
      </c>
      <c r="B684" s="2">
        <v>46169</v>
      </c>
      <c r="C684" t="s">
        <v>47</v>
      </c>
      <c r="D684" t="s">
        <v>48</v>
      </c>
      <c r="E684" t="s">
        <v>43</v>
      </c>
      <c r="F684" t="s">
        <v>44</v>
      </c>
      <c r="G684">
        <v>469</v>
      </c>
      <c r="H684">
        <v>108</v>
      </c>
      <c r="I684">
        <v>206</v>
      </c>
      <c r="J684">
        <v>371</v>
      </c>
      <c r="K684" s="3">
        <v>153.27000000000001</v>
      </c>
      <c r="L684" s="3">
        <v>56863.17</v>
      </c>
      <c r="M684" t="s">
        <v>49</v>
      </c>
    </row>
    <row r="685" spans="1:13">
      <c r="A685" t="s">
        <v>754</v>
      </c>
      <c r="B685" s="2">
        <v>46218</v>
      </c>
      <c r="C685" t="s">
        <v>116</v>
      </c>
      <c r="D685" t="s">
        <v>117</v>
      </c>
      <c r="E685" t="s">
        <v>22</v>
      </c>
      <c r="F685" t="s">
        <v>23</v>
      </c>
      <c r="G685">
        <v>94</v>
      </c>
      <c r="H685">
        <v>13</v>
      </c>
      <c r="I685">
        <v>85</v>
      </c>
      <c r="J685">
        <v>22</v>
      </c>
      <c r="K685" s="3">
        <v>167.34</v>
      </c>
      <c r="L685" s="3">
        <v>3681.48</v>
      </c>
      <c r="M685" t="s">
        <v>18</v>
      </c>
    </row>
    <row r="686" spans="1:13">
      <c r="A686" t="s">
        <v>755</v>
      </c>
      <c r="B686" s="2">
        <v>46169</v>
      </c>
      <c r="C686" t="s">
        <v>14</v>
      </c>
      <c r="D686" t="s">
        <v>15</v>
      </c>
      <c r="E686" t="s">
        <v>16</v>
      </c>
      <c r="F686" t="s">
        <v>17</v>
      </c>
      <c r="G686">
        <v>369</v>
      </c>
      <c r="H686">
        <v>64</v>
      </c>
      <c r="I686">
        <v>37</v>
      </c>
      <c r="J686">
        <v>396</v>
      </c>
      <c r="K686" s="3">
        <v>200.79</v>
      </c>
      <c r="L686" s="3">
        <v>79512.84</v>
      </c>
      <c r="M686" t="s">
        <v>24</v>
      </c>
    </row>
    <row r="687" spans="1:13">
      <c r="A687" t="s">
        <v>756</v>
      </c>
      <c r="B687" s="2">
        <v>46127</v>
      </c>
      <c r="C687" t="s">
        <v>71</v>
      </c>
      <c r="D687" t="s">
        <v>72</v>
      </c>
      <c r="E687" t="s">
        <v>22</v>
      </c>
      <c r="F687" t="s">
        <v>68</v>
      </c>
      <c r="G687">
        <v>405</v>
      </c>
      <c r="H687">
        <v>138</v>
      </c>
      <c r="I687">
        <v>8</v>
      </c>
      <c r="J687">
        <v>535</v>
      </c>
      <c r="K687" s="3">
        <v>11</v>
      </c>
      <c r="L687" s="3">
        <v>5885</v>
      </c>
      <c r="M687" t="s">
        <v>18</v>
      </c>
    </row>
    <row r="688" spans="1:13">
      <c r="A688" t="s">
        <v>757</v>
      </c>
      <c r="B688" s="2">
        <v>46137</v>
      </c>
      <c r="C688" t="s">
        <v>20</v>
      </c>
      <c r="D688" t="s">
        <v>21</v>
      </c>
      <c r="E688" t="s">
        <v>22</v>
      </c>
      <c r="F688" t="s">
        <v>23</v>
      </c>
      <c r="G688">
        <v>400</v>
      </c>
      <c r="H688">
        <v>165</v>
      </c>
      <c r="I688">
        <v>143</v>
      </c>
      <c r="J688">
        <v>422</v>
      </c>
      <c r="K688" s="3">
        <v>63.68</v>
      </c>
      <c r="L688" s="3">
        <v>26872.959999999999</v>
      </c>
      <c r="M688" t="s">
        <v>24</v>
      </c>
    </row>
    <row r="689" spans="1:13">
      <c r="A689" t="s">
        <v>758</v>
      </c>
      <c r="B689" s="2">
        <v>46047</v>
      </c>
      <c r="C689" t="s">
        <v>71</v>
      </c>
      <c r="D689" t="s">
        <v>72</v>
      </c>
      <c r="E689" t="s">
        <v>22</v>
      </c>
      <c r="F689" t="s">
        <v>68</v>
      </c>
      <c r="G689">
        <v>494</v>
      </c>
      <c r="H689">
        <v>97</v>
      </c>
      <c r="I689">
        <v>99</v>
      </c>
      <c r="J689">
        <v>492</v>
      </c>
      <c r="K689" s="3">
        <v>11.1</v>
      </c>
      <c r="L689" s="3">
        <v>5461.2</v>
      </c>
      <c r="M689" t="s">
        <v>24</v>
      </c>
    </row>
    <row r="690" spans="1:13">
      <c r="A690" t="s">
        <v>759</v>
      </c>
      <c r="B690" s="2">
        <v>46050</v>
      </c>
      <c r="C690" t="s">
        <v>66</v>
      </c>
      <c r="D690" t="s">
        <v>67</v>
      </c>
      <c r="E690" t="s">
        <v>16</v>
      </c>
      <c r="F690" t="s">
        <v>68</v>
      </c>
      <c r="G690">
        <v>26</v>
      </c>
      <c r="H690">
        <v>64</v>
      </c>
      <c r="I690">
        <v>25</v>
      </c>
      <c r="J690">
        <v>65</v>
      </c>
      <c r="K690" s="3">
        <v>64.790000000000006</v>
      </c>
      <c r="L690" s="3">
        <v>4211.3500000000004</v>
      </c>
      <c r="M690" t="s">
        <v>18</v>
      </c>
    </row>
    <row r="691" spans="1:13">
      <c r="A691" t="s">
        <v>760</v>
      </c>
      <c r="B691" s="2">
        <v>46211</v>
      </c>
      <c r="C691" t="s">
        <v>51</v>
      </c>
      <c r="D691" t="s">
        <v>52</v>
      </c>
      <c r="E691" t="s">
        <v>28</v>
      </c>
      <c r="F691" t="s">
        <v>33</v>
      </c>
      <c r="G691">
        <v>406</v>
      </c>
      <c r="H691">
        <v>150</v>
      </c>
      <c r="I691">
        <v>139</v>
      </c>
      <c r="J691">
        <v>417</v>
      </c>
      <c r="K691" s="3">
        <v>28.12</v>
      </c>
      <c r="L691" s="3">
        <v>11726.04</v>
      </c>
      <c r="M691" t="s">
        <v>49</v>
      </c>
    </row>
    <row r="692" spans="1:13">
      <c r="A692" t="s">
        <v>761</v>
      </c>
      <c r="B692" s="2">
        <v>46173</v>
      </c>
      <c r="C692" t="s">
        <v>99</v>
      </c>
      <c r="D692" t="s">
        <v>100</v>
      </c>
      <c r="E692" t="s">
        <v>43</v>
      </c>
      <c r="F692" t="s">
        <v>44</v>
      </c>
      <c r="G692">
        <v>249</v>
      </c>
      <c r="H692">
        <v>45</v>
      </c>
      <c r="I692">
        <v>174</v>
      </c>
      <c r="J692">
        <v>120</v>
      </c>
      <c r="K692" s="3">
        <v>233.1</v>
      </c>
      <c r="L692" s="3">
        <v>27972</v>
      </c>
      <c r="M692" t="s">
        <v>49</v>
      </c>
    </row>
    <row r="693" spans="1:13">
      <c r="A693" t="s">
        <v>762</v>
      </c>
      <c r="B693" s="2">
        <v>46084</v>
      </c>
      <c r="C693" t="s">
        <v>59</v>
      </c>
      <c r="D693" t="s">
        <v>60</v>
      </c>
      <c r="E693" t="s">
        <v>16</v>
      </c>
      <c r="F693" t="s">
        <v>17</v>
      </c>
      <c r="G693">
        <v>213</v>
      </c>
      <c r="H693">
        <v>10</v>
      </c>
      <c r="I693">
        <v>109</v>
      </c>
      <c r="J693">
        <v>114</v>
      </c>
      <c r="K693" s="3">
        <v>61.8</v>
      </c>
      <c r="L693" s="3">
        <v>7045.2</v>
      </c>
      <c r="M693" t="s">
        <v>18</v>
      </c>
    </row>
    <row r="694" spans="1:13">
      <c r="A694" t="s">
        <v>763</v>
      </c>
      <c r="B694" s="2">
        <v>46105</v>
      </c>
      <c r="C694" t="s">
        <v>77</v>
      </c>
      <c r="D694" t="s">
        <v>78</v>
      </c>
      <c r="E694" t="s">
        <v>16</v>
      </c>
      <c r="F694" t="s">
        <v>17</v>
      </c>
      <c r="G694">
        <v>319</v>
      </c>
      <c r="H694">
        <v>65</v>
      </c>
      <c r="I694">
        <v>1</v>
      </c>
      <c r="J694">
        <v>383</v>
      </c>
      <c r="K694" s="3">
        <v>201.39</v>
      </c>
      <c r="L694" s="3">
        <v>77132.37</v>
      </c>
      <c r="M694" t="s">
        <v>24</v>
      </c>
    </row>
    <row r="695" spans="1:13">
      <c r="A695" t="s">
        <v>764</v>
      </c>
      <c r="B695" s="2">
        <v>46043</v>
      </c>
      <c r="C695" t="s">
        <v>77</v>
      </c>
      <c r="D695" t="s">
        <v>78</v>
      </c>
      <c r="E695" t="s">
        <v>16</v>
      </c>
      <c r="F695" t="s">
        <v>17</v>
      </c>
      <c r="G695">
        <v>98</v>
      </c>
      <c r="H695">
        <v>82</v>
      </c>
      <c r="I695">
        <v>152</v>
      </c>
      <c r="J695">
        <v>28</v>
      </c>
      <c r="K695" s="3">
        <v>192.13</v>
      </c>
      <c r="L695" s="3">
        <v>5379.64</v>
      </c>
      <c r="M695" t="s">
        <v>24</v>
      </c>
    </row>
    <row r="696" spans="1:13">
      <c r="A696" t="s">
        <v>765</v>
      </c>
      <c r="B696" s="2">
        <v>46177</v>
      </c>
      <c r="C696" t="s">
        <v>80</v>
      </c>
      <c r="D696" t="s">
        <v>81</v>
      </c>
      <c r="E696" t="s">
        <v>28</v>
      </c>
      <c r="F696" t="s">
        <v>33</v>
      </c>
      <c r="G696">
        <v>271</v>
      </c>
      <c r="H696">
        <v>146</v>
      </c>
      <c r="I696">
        <v>140</v>
      </c>
      <c r="J696">
        <v>277</v>
      </c>
      <c r="K696" s="3">
        <v>4.6900000000000004</v>
      </c>
      <c r="L696" s="3">
        <v>1299.1300000000001</v>
      </c>
      <c r="M696" t="s">
        <v>24</v>
      </c>
    </row>
    <row r="697" spans="1:13">
      <c r="A697" t="s">
        <v>766</v>
      </c>
      <c r="B697" s="2">
        <v>46292</v>
      </c>
      <c r="C697" t="s">
        <v>66</v>
      </c>
      <c r="D697" t="s">
        <v>67</v>
      </c>
      <c r="E697" t="s">
        <v>16</v>
      </c>
      <c r="F697" t="s">
        <v>68</v>
      </c>
      <c r="G697">
        <v>132</v>
      </c>
      <c r="H697">
        <v>47</v>
      </c>
      <c r="I697">
        <v>133</v>
      </c>
      <c r="J697">
        <v>46</v>
      </c>
      <c r="K697" s="3">
        <v>59.17</v>
      </c>
      <c r="L697" s="3">
        <v>2721.82</v>
      </c>
      <c r="M697" t="s">
        <v>24</v>
      </c>
    </row>
    <row r="698" spans="1:13">
      <c r="A698" t="s">
        <v>767</v>
      </c>
      <c r="B698" s="2">
        <v>46235</v>
      </c>
      <c r="C698" t="s">
        <v>14</v>
      </c>
      <c r="D698" t="s">
        <v>15</v>
      </c>
      <c r="E698" t="s">
        <v>16</v>
      </c>
      <c r="F698" t="s">
        <v>17</v>
      </c>
      <c r="G698">
        <v>298</v>
      </c>
      <c r="H698">
        <v>137</v>
      </c>
      <c r="I698">
        <v>103</v>
      </c>
      <c r="J698">
        <v>332</v>
      </c>
      <c r="K698" s="3">
        <v>178.01</v>
      </c>
      <c r="L698" s="3">
        <v>59099.32</v>
      </c>
      <c r="M698" t="s">
        <v>49</v>
      </c>
    </row>
    <row r="699" spans="1:13">
      <c r="A699" t="s">
        <v>768</v>
      </c>
      <c r="B699" s="2">
        <v>46192</v>
      </c>
      <c r="C699" t="s">
        <v>99</v>
      </c>
      <c r="D699" t="s">
        <v>100</v>
      </c>
      <c r="E699" t="s">
        <v>43</v>
      </c>
      <c r="F699" t="s">
        <v>44</v>
      </c>
      <c r="G699">
        <v>189</v>
      </c>
      <c r="H699">
        <v>92</v>
      </c>
      <c r="I699">
        <v>75</v>
      </c>
      <c r="J699">
        <v>206</v>
      </c>
      <c r="K699" s="3">
        <v>238.87</v>
      </c>
      <c r="L699" s="3">
        <v>49207.22</v>
      </c>
      <c r="M699" t="s">
        <v>24</v>
      </c>
    </row>
    <row r="700" spans="1:13">
      <c r="A700" t="s">
        <v>769</v>
      </c>
      <c r="B700" s="2">
        <v>46266</v>
      </c>
      <c r="C700" t="s">
        <v>59</v>
      </c>
      <c r="D700" t="s">
        <v>60</v>
      </c>
      <c r="E700" t="s">
        <v>16</v>
      </c>
      <c r="F700" t="s">
        <v>17</v>
      </c>
      <c r="G700">
        <v>307</v>
      </c>
      <c r="H700">
        <v>166</v>
      </c>
      <c r="I700">
        <v>2</v>
      </c>
      <c r="J700">
        <v>471</v>
      </c>
      <c r="K700" s="3">
        <v>60.11</v>
      </c>
      <c r="L700" s="3">
        <v>28311.81</v>
      </c>
      <c r="M700" t="s">
        <v>18</v>
      </c>
    </row>
    <row r="701" spans="1:13">
      <c r="A701" t="s">
        <v>770</v>
      </c>
      <c r="B701" s="2">
        <v>46146</v>
      </c>
      <c r="C701" t="s">
        <v>55</v>
      </c>
      <c r="D701" t="s">
        <v>56</v>
      </c>
      <c r="E701" t="s">
        <v>28</v>
      </c>
      <c r="F701" t="s">
        <v>29</v>
      </c>
      <c r="G701">
        <v>483</v>
      </c>
      <c r="H701">
        <v>164</v>
      </c>
      <c r="I701">
        <v>157</v>
      </c>
      <c r="J701">
        <v>490</v>
      </c>
      <c r="K701" s="3">
        <v>195.28</v>
      </c>
      <c r="L701" s="3">
        <v>95687.2</v>
      </c>
      <c r="M701" t="s">
        <v>49</v>
      </c>
    </row>
    <row r="702" spans="1:13">
      <c r="A702" t="s">
        <v>771</v>
      </c>
      <c r="B702" s="2">
        <v>46187</v>
      </c>
      <c r="C702" t="s">
        <v>86</v>
      </c>
      <c r="D702" t="s">
        <v>87</v>
      </c>
      <c r="E702" t="s">
        <v>43</v>
      </c>
      <c r="F702" t="s">
        <v>44</v>
      </c>
      <c r="G702">
        <v>215</v>
      </c>
      <c r="H702">
        <v>29</v>
      </c>
      <c r="I702">
        <v>98</v>
      </c>
      <c r="J702">
        <v>146</v>
      </c>
      <c r="K702" s="3">
        <v>9.5399999999999991</v>
      </c>
      <c r="L702" s="3">
        <v>1392.84</v>
      </c>
      <c r="M702" t="s">
        <v>24</v>
      </c>
    </row>
    <row r="703" spans="1:13">
      <c r="A703" t="s">
        <v>772</v>
      </c>
      <c r="B703" s="2">
        <v>46035</v>
      </c>
      <c r="C703" t="s">
        <v>71</v>
      </c>
      <c r="D703" t="s">
        <v>72</v>
      </c>
      <c r="E703" t="s">
        <v>22</v>
      </c>
      <c r="F703" t="s">
        <v>68</v>
      </c>
      <c r="G703">
        <v>486</v>
      </c>
      <c r="H703">
        <v>132</v>
      </c>
      <c r="I703">
        <v>210</v>
      </c>
      <c r="J703">
        <v>408</v>
      </c>
      <c r="K703" s="3">
        <v>11.74</v>
      </c>
      <c r="L703" s="3">
        <v>4789.92</v>
      </c>
      <c r="M703" t="s">
        <v>24</v>
      </c>
    </row>
    <row r="704" spans="1:13">
      <c r="A704" t="s">
        <v>773</v>
      </c>
      <c r="B704" s="2">
        <v>46251</v>
      </c>
      <c r="C704" t="s">
        <v>59</v>
      </c>
      <c r="D704" t="s">
        <v>60</v>
      </c>
      <c r="E704" t="s">
        <v>16</v>
      </c>
      <c r="F704" t="s">
        <v>17</v>
      </c>
      <c r="G704">
        <v>269</v>
      </c>
      <c r="H704">
        <v>11</v>
      </c>
      <c r="I704">
        <v>75</v>
      </c>
      <c r="J704">
        <v>205</v>
      </c>
      <c r="K704" s="3">
        <v>68.14</v>
      </c>
      <c r="L704" s="3">
        <v>13968.7</v>
      </c>
      <c r="M704" t="s">
        <v>49</v>
      </c>
    </row>
    <row r="705" spans="1:13">
      <c r="A705" t="s">
        <v>774</v>
      </c>
      <c r="B705" s="2">
        <v>46286</v>
      </c>
      <c r="C705" t="s">
        <v>66</v>
      </c>
      <c r="D705" t="s">
        <v>67</v>
      </c>
      <c r="E705" t="s">
        <v>16</v>
      </c>
      <c r="F705" t="s">
        <v>68</v>
      </c>
      <c r="G705">
        <v>62</v>
      </c>
      <c r="H705">
        <v>24</v>
      </c>
      <c r="I705">
        <v>21</v>
      </c>
      <c r="J705">
        <v>65</v>
      </c>
      <c r="K705" s="3">
        <v>68.36</v>
      </c>
      <c r="L705" s="3">
        <v>4443.3999999999996</v>
      </c>
      <c r="M705" t="s">
        <v>24</v>
      </c>
    </row>
    <row r="706" spans="1:13">
      <c r="A706" t="s">
        <v>775</v>
      </c>
      <c r="B706" s="2">
        <v>46026</v>
      </c>
      <c r="C706" t="s">
        <v>47</v>
      </c>
      <c r="D706" t="s">
        <v>48</v>
      </c>
      <c r="E706" t="s">
        <v>43</v>
      </c>
      <c r="F706" t="s">
        <v>44</v>
      </c>
      <c r="G706">
        <v>340</v>
      </c>
      <c r="H706">
        <v>16</v>
      </c>
      <c r="I706">
        <v>53</v>
      </c>
      <c r="J706">
        <v>303</v>
      </c>
      <c r="K706" s="3">
        <v>170.76</v>
      </c>
      <c r="L706" s="3">
        <v>51740.28</v>
      </c>
      <c r="M706" t="s">
        <v>49</v>
      </c>
    </row>
    <row r="707" spans="1:13">
      <c r="A707" t="s">
        <v>776</v>
      </c>
      <c r="B707" s="2">
        <v>46076</v>
      </c>
      <c r="C707" t="s">
        <v>62</v>
      </c>
      <c r="D707" t="s">
        <v>63</v>
      </c>
      <c r="E707" t="s">
        <v>37</v>
      </c>
      <c r="F707" t="s">
        <v>38</v>
      </c>
      <c r="G707">
        <v>125</v>
      </c>
      <c r="H707">
        <v>137</v>
      </c>
      <c r="I707">
        <v>212</v>
      </c>
      <c r="J707">
        <v>50</v>
      </c>
      <c r="K707" s="3">
        <v>59.96</v>
      </c>
      <c r="L707" s="3">
        <v>2998</v>
      </c>
      <c r="M707" t="s">
        <v>24</v>
      </c>
    </row>
    <row r="708" spans="1:13">
      <c r="A708" t="s">
        <v>777</v>
      </c>
      <c r="B708" s="2">
        <v>46059</v>
      </c>
      <c r="C708" t="s">
        <v>62</v>
      </c>
      <c r="D708" t="s">
        <v>63</v>
      </c>
      <c r="E708" t="s">
        <v>37</v>
      </c>
      <c r="F708" t="s">
        <v>38</v>
      </c>
      <c r="G708">
        <v>402</v>
      </c>
      <c r="H708">
        <v>175</v>
      </c>
      <c r="I708">
        <v>39</v>
      </c>
      <c r="J708">
        <v>538</v>
      </c>
      <c r="K708" s="3">
        <v>53.65</v>
      </c>
      <c r="L708" s="3">
        <v>28863.7</v>
      </c>
      <c r="M708" t="s">
        <v>24</v>
      </c>
    </row>
    <row r="709" spans="1:13">
      <c r="A709" t="s">
        <v>778</v>
      </c>
      <c r="B709" s="2">
        <v>46042</v>
      </c>
      <c r="C709" t="s">
        <v>66</v>
      </c>
      <c r="D709" t="s">
        <v>67</v>
      </c>
      <c r="E709" t="s">
        <v>16</v>
      </c>
      <c r="F709" t="s">
        <v>68</v>
      </c>
      <c r="G709">
        <v>64</v>
      </c>
      <c r="H709">
        <v>18</v>
      </c>
      <c r="I709">
        <v>6</v>
      </c>
      <c r="J709">
        <v>76</v>
      </c>
      <c r="K709" s="3">
        <v>60.29</v>
      </c>
      <c r="L709" s="3">
        <v>4582.04</v>
      </c>
      <c r="M709" t="s">
        <v>18</v>
      </c>
    </row>
    <row r="710" spans="1:13">
      <c r="A710" t="s">
        <v>779</v>
      </c>
      <c r="B710" s="2">
        <v>46059</v>
      </c>
      <c r="C710" t="s">
        <v>47</v>
      </c>
      <c r="D710" t="s">
        <v>48</v>
      </c>
      <c r="E710" t="s">
        <v>43</v>
      </c>
      <c r="F710" t="s">
        <v>44</v>
      </c>
      <c r="G710">
        <v>314</v>
      </c>
      <c r="H710">
        <v>58</v>
      </c>
      <c r="I710">
        <v>66</v>
      </c>
      <c r="J710">
        <v>306</v>
      </c>
      <c r="K710" s="3">
        <v>163.77000000000001</v>
      </c>
      <c r="L710" s="3">
        <v>50113.62</v>
      </c>
      <c r="M710" t="s">
        <v>18</v>
      </c>
    </row>
    <row r="711" spans="1:13">
      <c r="A711" t="s">
        <v>780</v>
      </c>
      <c r="B711" s="2">
        <v>46244</v>
      </c>
      <c r="C711" t="s">
        <v>136</v>
      </c>
      <c r="D711" t="s">
        <v>137</v>
      </c>
      <c r="E711" t="s">
        <v>37</v>
      </c>
      <c r="F711" t="s">
        <v>38</v>
      </c>
      <c r="G711">
        <v>181</v>
      </c>
      <c r="H711">
        <v>4</v>
      </c>
      <c r="I711">
        <v>99</v>
      </c>
      <c r="J711">
        <v>86</v>
      </c>
      <c r="K711" s="3">
        <v>10.64</v>
      </c>
      <c r="L711" s="3">
        <v>915.04</v>
      </c>
      <c r="M711" t="s">
        <v>24</v>
      </c>
    </row>
    <row r="712" spans="1:13">
      <c r="A712" t="s">
        <v>781</v>
      </c>
      <c r="B712" s="2">
        <v>46055</v>
      </c>
      <c r="C712" t="s">
        <v>116</v>
      </c>
      <c r="D712" t="s">
        <v>117</v>
      </c>
      <c r="E712" t="s">
        <v>22</v>
      </c>
      <c r="F712" t="s">
        <v>23</v>
      </c>
      <c r="G712">
        <v>407</v>
      </c>
      <c r="H712">
        <v>149</v>
      </c>
      <c r="I712">
        <v>11</v>
      </c>
      <c r="J712">
        <v>545</v>
      </c>
      <c r="K712" s="3">
        <v>185.91</v>
      </c>
      <c r="L712" s="3">
        <v>101320.95</v>
      </c>
      <c r="M712" t="s">
        <v>49</v>
      </c>
    </row>
    <row r="713" spans="1:13">
      <c r="A713" t="s">
        <v>782</v>
      </c>
      <c r="B713" s="2">
        <v>46280</v>
      </c>
      <c r="C713" t="s">
        <v>41</v>
      </c>
      <c r="D713" t="s">
        <v>42</v>
      </c>
      <c r="E713" t="s">
        <v>43</v>
      </c>
      <c r="F713" t="s">
        <v>44</v>
      </c>
      <c r="G713">
        <v>74</v>
      </c>
      <c r="H713">
        <v>74</v>
      </c>
      <c r="I713">
        <v>77</v>
      </c>
      <c r="J713">
        <v>71</v>
      </c>
      <c r="K713" s="3">
        <v>145.41999999999999</v>
      </c>
      <c r="L713" s="3">
        <v>10324.82</v>
      </c>
      <c r="M713" t="s">
        <v>18</v>
      </c>
    </row>
    <row r="714" spans="1:13">
      <c r="A714" t="s">
        <v>783</v>
      </c>
      <c r="B714" s="2">
        <v>46218</v>
      </c>
      <c r="C714" t="s">
        <v>55</v>
      </c>
      <c r="D714" t="s">
        <v>56</v>
      </c>
      <c r="E714" t="s">
        <v>28</v>
      </c>
      <c r="F714" t="s">
        <v>29</v>
      </c>
      <c r="G714">
        <v>222</v>
      </c>
      <c r="H714">
        <v>169</v>
      </c>
      <c r="I714">
        <v>7</v>
      </c>
      <c r="J714">
        <v>384</v>
      </c>
      <c r="K714" s="3">
        <v>182.26</v>
      </c>
      <c r="L714" s="3">
        <v>69987.839999999997</v>
      </c>
      <c r="M714" t="s">
        <v>24</v>
      </c>
    </row>
    <row r="715" spans="1:13">
      <c r="A715" t="s">
        <v>784</v>
      </c>
      <c r="B715" s="2">
        <v>46092</v>
      </c>
      <c r="C715" t="s">
        <v>51</v>
      </c>
      <c r="D715" t="s">
        <v>52</v>
      </c>
      <c r="E715" t="s">
        <v>28</v>
      </c>
      <c r="F715" t="s">
        <v>33</v>
      </c>
      <c r="G715">
        <v>402</v>
      </c>
      <c r="H715">
        <v>100</v>
      </c>
      <c r="I715">
        <v>203</v>
      </c>
      <c r="J715">
        <v>299</v>
      </c>
      <c r="K715" s="3">
        <v>28.37</v>
      </c>
      <c r="L715" s="3">
        <v>8482.6299999999992</v>
      </c>
      <c r="M715" t="s">
        <v>24</v>
      </c>
    </row>
    <row r="716" spans="1:13">
      <c r="A716" t="s">
        <v>785</v>
      </c>
      <c r="B716" s="2">
        <v>46096</v>
      </c>
      <c r="C716" t="s">
        <v>71</v>
      </c>
      <c r="D716" t="s">
        <v>72</v>
      </c>
      <c r="E716" t="s">
        <v>22</v>
      </c>
      <c r="F716" t="s">
        <v>68</v>
      </c>
      <c r="G716">
        <v>172</v>
      </c>
      <c r="H716">
        <v>173</v>
      </c>
      <c r="I716">
        <v>203</v>
      </c>
      <c r="J716">
        <v>142</v>
      </c>
      <c r="K716" s="3">
        <v>11.91</v>
      </c>
      <c r="L716" s="3">
        <v>1691.22</v>
      </c>
      <c r="M716" t="s">
        <v>24</v>
      </c>
    </row>
    <row r="717" spans="1:13">
      <c r="A717" t="s">
        <v>786</v>
      </c>
      <c r="B717" s="2">
        <v>46028</v>
      </c>
      <c r="C717" t="s">
        <v>41</v>
      </c>
      <c r="D717" t="s">
        <v>42</v>
      </c>
      <c r="E717" t="s">
        <v>43</v>
      </c>
      <c r="F717" t="s">
        <v>44</v>
      </c>
      <c r="G717">
        <v>303</v>
      </c>
      <c r="H717">
        <v>142</v>
      </c>
      <c r="I717">
        <v>36</v>
      </c>
      <c r="J717">
        <v>409</v>
      </c>
      <c r="K717" s="3">
        <v>134.36000000000001</v>
      </c>
      <c r="L717" s="3">
        <v>54953.24</v>
      </c>
      <c r="M717" t="s">
        <v>49</v>
      </c>
    </row>
    <row r="718" spans="1:13">
      <c r="A718" t="s">
        <v>787</v>
      </c>
      <c r="B718" s="2">
        <v>46224</v>
      </c>
      <c r="C718" t="s">
        <v>35</v>
      </c>
      <c r="D718" t="s">
        <v>36</v>
      </c>
      <c r="E718" t="s">
        <v>37</v>
      </c>
      <c r="F718" t="s">
        <v>38</v>
      </c>
      <c r="G718">
        <v>295</v>
      </c>
      <c r="H718">
        <v>140</v>
      </c>
      <c r="I718">
        <v>21</v>
      </c>
      <c r="J718">
        <v>414</v>
      </c>
      <c r="K718" s="3">
        <v>220.11</v>
      </c>
      <c r="L718" s="3">
        <v>91125.54</v>
      </c>
      <c r="M718" t="s">
        <v>24</v>
      </c>
    </row>
    <row r="719" spans="1:13">
      <c r="A719" t="s">
        <v>788</v>
      </c>
      <c r="B719" s="2">
        <v>46131</v>
      </c>
      <c r="C719" t="s">
        <v>41</v>
      </c>
      <c r="D719" t="s">
        <v>42</v>
      </c>
      <c r="E719" t="s">
        <v>43</v>
      </c>
      <c r="F719" t="s">
        <v>44</v>
      </c>
      <c r="G719">
        <v>231</v>
      </c>
      <c r="H719">
        <v>165</v>
      </c>
      <c r="I719">
        <v>217</v>
      </c>
      <c r="J719">
        <v>179</v>
      </c>
      <c r="K719" s="3">
        <v>143.27000000000001</v>
      </c>
      <c r="L719" s="3">
        <v>25645.33</v>
      </c>
      <c r="M719" t="s">
        <v>49</v>
      </c>
    </row>
    <row r="720" spans="1:13">
      <c r="A720" t="s">
        <v>789</v>
      </c>
      <c r="B720" s="2">
        <v>46136</v>
      </c>
      <c r="C720" t="s">
        <v>14</v>
      </c>
      <c r="D720" t="s">
        <v>15</v>
      </c>
      <c r="E720" t="s">
        <v>16</v>
      </c>
      <c r="F720" t="s">
        <v>17</v>
      </c>
      <c r="G720">
        <v>335</v>
      </c>
      <c r="H720">
        <v>64</v>
      </c>
      <c r="I720">
        <v>49</v>
      </c>
      <c r="J720">
        <v>350</v>
      </c>
      <c r="K720" s="3">
        <v>178.7</v>
      </c>
      <c r="L720" s="3">
        <v>62545</v>
      </c>
      <c r="M720" t="s">
        <v>24</v>
      </c>
    </row>
    <row r="721" spans="1:13">
      <c r="A721" t="s">
        <v>790</v>
      </c>
      <c r="B721" s="2">
        <v>46050</v>
      </c>
      <c r="C721" t="s">
        <v>35</v>
      </c>
      <c r="D721" t="s">
        <v>36</v>
      </c>
      <c r="E721" t="s">
        <v>37</v>
      </c>
      <c r="F721" t="s">
        <v>38</v>
      </c>
      <c r="G721">
        <v>455</v>
      </c>
      <c r="H721">
        <v>140</v>
      </c>
      <c r="I721">
        <v>118</v>
      </c>
      <c r="J721">
        <v>477</v>
      </c>
      <c r="K721" s="3">
        <v>232.47</v>
      </c>
      <c r="L721" s="3">
        <v>110888.19</v>
      </c>
      <c r="M721" t="s">
        <v>49</v>
      </c>
    </row>
    <row r="722" spans="1:13">
      <c r="A722" t="s">
        <v>791</v>
      </c>
      <c r="B722" s="2">
        <v>46057</v>
      </c>
      <c r="C722" t="s">
        <v>71</v>
      </c>
      <c r="D722" t="s">
        <v>72</v>
      </c>
      <c r="E722" t="s">
        <v>22</v>
      </c>
      <c r="F722" t="s">
        <v>68</v>
      </c>
      <c r="G722">
        <v>148</v>
      </c>
      <c r="H722">
        <v>25</v>
      </c>
      <c r="I722">
        <v>50</v>
      </c>
      <c r="J722">
        <v>123</v>
      </c>
      <c r="K722" s="3">
        <v>11.66</v>
      </c>
      <c r="L722" s="3">
        <v>1434.18</v>
      </c>
      <c r="M722" t="s">
        <v>18</v>
      </c>
    </row>
    <row r="723" spans="1:13">
      <c r="A723" t="s">
        <v>792</v>
      </c>
      <c r="B723" s="2">
        <v>46205</v>
      </c>
      <c r="C723" t="s">
        <v>66</v>
      </c>
      <c r="D723" t="s">
        <v>67</v>
      </c>
      <c r="E723" t="s">
        <v>16</v>
      </c>
      <c r="F723" t="s">
        <v>68</v>
      </c>
      <c r="G723">
        <v>85</v>
      </c>
      <c r="H723">
        <v>171</v>
      </c>
      <c r="I723">
        <v>167</v>
      </c>
      <c r="J723">
        <v>89</v>
      </c>
      <c r="K723" s="3">
        <v>60.86</v>
      </c>
      <c r="L723" s="3">
        <v>5416.54</v>
      </c>
      <c r="M723" t="s">
        <v>18</v>
      </c>
    </row>
    <row r="724" spans="1:13">
      <c r="A724" t="s">
        <v>793</v>
      </c>
      <c r="B724" s="2">
        <v>46058</v>
      </c>
      <c r="C724" t="s">
        <v>80</v>
      </c>
      <c r="D724" t="s">
        <v>81</v>
      </c>
      <c r="E724" t="s">
        <v>28</v>
      </c>
      <c r="F724" t="s">
        <v>33</v>
      </c>
      <c r="G724">
        <v>480</v>
      </c>
      <c r="H724">
        <v>49</v>
      </c>
      <c r="I724">
        <v>81</v>
      </c>
      <c r="J724">
        <v>448</v>
      </c>
      <c r="K724" s="3">
        <v>4.79</v>
      </c>
      <c r="L724" s="3">
        <v>2145.92</v>
      </c>
      <c r="M724" t="s">
        <v>18</v>
      </c>
    </row>
    <row r="725" spans="1:13">
      <c r="A725" t="s">
        <v>794</v>
      </c>
      <c r="B725" s="2">
        <v>46179</v>
      </c>
      <c r="C725" t="s">
        <v>80</v>
      </c>
      <c r="D725" t="s">
        <v>81</v>
      </c>
      <c r="E725" t="s">
        <v>28</v>
      </c>
      <c r="F725" t="s">
        <v>33</v>
      </c>
      <c r="G725">
        <v>375</v>
      </c>
      <c r="H725">
        <v>149</v>
      </c>
      <c r="I725">
        <v>39</v>
      </c>
      <c r="J725">
        <v>485</v>
      </c>
      <c r="K725" s="3">
        <v>4.8499999999999996</v>
      </c>
      <c r="L725" s="3">
        <v>2352.25</v>
      </c>
      <c r="M725" t="s">
        <v>18</v>
      </c>
    </row>
    <row r="726" spans="1:13">
      <c r="A726" t="s">
        <v>795</v>
      </c>
      <c r="B726" s="2">
        <v>46242</v>
      </c>
      <c r="C726" t="s">
        <v>66</v>
      </c>
      <c r="D726" t="s">
        <v>67</v>
      </c>
      <c r="E726" t="s">
        <v>16</v>
      </c>
      <c r="F726" t="s">
        <v>68</v>
      </c>
      <c r="G726">
        <v>106</v>
      </c>
      <c r="H726">
        <v>1</v>
      </c>
      <c r="I726">
        <v>40</v>
      </c>
      <c r="J726">
        <v>67</v>
      </c>
      <c r="K726" s="3">
        <v>60.98</v>
      </c>
      <c r="L726" s="3">
        <v>4085.66</v>
      </c>
      <c r="M726" t="s">
        <v>49</v>
      </c>
    </row>
    <row r="727" spans="1:13">
      <c r="A727" t="s">
        <v>796</v>
      </c>
      <c r="B727" s="2">
        <v>46164</v>
      </c>
      <c r="C727" t="s">
        <v>62</v>
      </c>
      <c r="D727" t="s">
        <v>63</v>
      </c>
      <c r="E727" t="s">
        <v>37</v>
      </c>
      <c r="F727" t="s">
        <v>38</v>
      </c>
      <c r="G727">
        <v>450</v>
      </c>
      <c r="H727">
        <v>92</v>
      </c>
      <c r="I727">
        <v>34</v>
      </c>
      <c r="J727">
        <v>508</v>
      </c>
      <c r="K727" s="3">
        <v>59.75</v>
      </c>
      <c r="L727" s="3">
        <v>30353</v>
      </c>
      <c r="M727" t="s">
        <v>18</v>
      </c>
    </row>
    <row r="728" spans="1:13">
      <c r="A728" t="s">
        <v>797</v>
      </c>
      <c r="B728" s="2">
        <v>46259</v>
      </c>
      <c r="C728" t="s">
        <v>124</v>
      </c>
      <c r="D728" t="s">
        <v>125</v>
      </c>
      <c r="E728" t="s">
        <v>22</v>
      </c>
      <c r="F728" t="s">
        <v>23</v>
      </c>
      <c r="G728">
        <v>248</v>
      </c>
      <c r="H728">
        <v>91</v>
      </c>
      <c r="I728">
        <v>198</v>
      </c>
      <c r="J728">
        <v>141</v>
      </c>
      <c r="K728" s="3">
        <v>149.16</v>
      </c>
      <c r="L728" s="3">
        <v>21031.56</v>
      </c>
      <c r="M728" t="s">
        <v>24</v>
      </c>
    </row>
    <row r="729" spans="1:13">
      <c r="A729" t="s">
        <v>798</v>
      </c>
      <c r="B729" s="2">
        <v>46112</v>
      </c>
      <c r="C729" t="s">
        <v>20</v>
      </c>
      <c r="D729" t="s">
        <v>21</v>
      </c>
      <c r="E729" t="s">
        <v>22</v>
      </c>
      <c r="F729" t="s">
        <v>23</v>
      </c>
      <c r="G729">
        <v>350</v>
      </c>
      <c r="H729">
        <v>155</v>
      </c>
      <c r="I729">
        <v>20</v>
      </c>
      <c r="J729">
        <v>485</v>
      </c>
      <c r="K729" s="3">
        <v>68.37</v>
      </c>
      <c r="L729" s="3">
        <v>33159.449999999997</v>
      </c>
      <c r="M729" t="s">
        <v>49</v>
      </c>
    </row>
    <row r="730" spans="1:13">
      <c r="A730" t="s">
        <v>799</v>
      </c>
      <c r="B730" s="2">
        <v>46123</v>
      </c>
      <c r="C730" t="s">
        <v>47</v>
      </c>
      <c r="D730" t="s">
        <v>48</v>
      </c>
      <c r="E730" t="s">
        <v>43</v>
      </c>
      <c r="F730" t="s">
        <v>44</v>
      </c>
      <c r="G730">
        <v>154</v>
      </c>
      <c r="H730">
        <v>160</v>
      </c>
      <c r="I730">
        <v>19</v>
      </c>
      <c r="J730">
        <v>295</v>
      </c>
      <c r="K730" s="3">
        <v>172.28</v>
      </c>
      <c r="L730" s="3">
        <v>50822.6</v>
      </c>
      <c r="M730" t="s">
        <v>49</v>
      </c>
    </row>
    <row r="731" spans="1:13">
      <c r="A731" t="s">
        <v>800</v>
      </c>
      <c r="B731" s="2">
        <v>46038</v>
      </c>
      <c r="C731" t="s">
        <v>59</v>
      </c>
      <c r="D731" t="s">
        <v>60</v>
      </c>
      <c r="E731" t="s">
        <v>16</v>
      </c>
      <c r="F731" t="s">
        <v>17</v>
      </c>
      <c r="G731">
        <v>436</v>
      </c>
      <c r="H731">
        <v>148</v>
      </c>
      <c r="I731">
        <v>148</v>
      </c>
      <c r="J731">
        <v>436</v>
      </c>
      <c r="K731" s="3">
        <v>63.09</v>
      </c>
      <c r="L731" s="3">
        <v>27507.24</v>
      </c>
      <c r="M731" t="s">
        <v>24</v>
      </c>
    </row>
    <row r="732" spans="1:13">
      <c r="A732" t="s">
        <v>801</v>
      </c>
      <c r="B732" s="2">
        <v>46041</v>
      </c>
      <c r="C732" t="s">
        <v>99</v>
      </c>
      <c r="D732" t="s">
        <v>100</v>
      </c>
      <c r="E732" t="s">
        <v>43</v>
      </c>
      <c r="F732" t="s">
        <v>44</v>
      </c>
      <c r="G732">
        <v>302</v>
      </c>
      <c r="H732">
        <v>66</v>
      </c>
      <c r="I732">
        <v>139</v>
      </c>
      <c r="J732">
        <v>229</v>
      </c>
      <c r="K732" s="3">
        <v>265.89999999999998</v>
      </c>
      <c r="L732" s="3">
        <v>60891.1</v>
      </c>
      <c r="M732" t="s">
        <v>24</v>
      </c>
    </row>
    <row r="733" spans="1:13">
      <c r="A733" t="s">
        <v>802</v>
      </c>
      <c r="B733" s="2">
        <v>46099</v>
      </c>
      <c r="C733" t="s">
        <v>124</v>
      </c>
      <c r="D733" t="s">
        <v>125</v>
      </c>
      <c r="E733" t="s">
        <v>22</v>
      </c>
      <c r="F733" t="s">
        <v>23</v>
      </c>
      <c r="G733">
        <v>207</v>
      </c>
      <c r="H733">
        <v>100</v>
      </c>
      <c r="I733">
        <v>57</v>
      </c>
      <c r="J733">
        <v>250</v>
      </c>
      <c r="K733" s="3">
        <v>163.59</v>
      </c>
      <c r="L733" s="3">
        <v>40897.5</v>
      </c>
      <c r="M733" t="s">
        <v>24</v>
      </c>
    </row>
    <row r="734" spans="1:13">
      <c r="A734" t="s">
        <v>803</v>
      </c>
      <c r="B734" s="2">
        <v>46091</v>
      </c>
      <c r="C734" t="s">
        <v>71</v>
      </c>
      <c r="D734" t="s">
        <v>72</v>
      </c>
      <c r="E734" t="s">
        <v>22</v>
      </c>
      <c r="F734" t="s">
        <v>68</v>
      </c>
      <c r="G734">
        <v>257</v>
      </c>
      <c r="H734">
        <v>128</v>
      </c>
      <c r="I734">
        <v>130</v>
      </c>
      <c r="J734">
        <v>255</v>
      </c>
      <c r="K734" s="3">
        <v>10.52</v>
      </c>
      <c r="L734" s="3">
        <v>2682.6</v>
      </c>
      <c r="M734" t="s">
        <v>18</v>
      </c>
    </row>
    <row r="735" spans="1:13">
      <c r="A735" t="s">
        <v>804</v>
      </c>
      <c r="B735" s="2">
        <v>46028</v>
      </c>
      <c r="C735" t="s">
        <v>59</v>
      </c>
      <c r="D735" t="s">
        <v>60</v>
      </c>
      <c r="E735" t="s">
        <v>16</v>
      </c>
      <c r="F735" t="s">
        <v>17</v>
      </c>
      <c r="G735">
        <v>359</v>
      </c>
      <c r="H735">
        <v>61</v>
      </c>
      <c r="I735">
        <v>217</v>
      </c>
      <c r="J735">
        <v>203</v>
      </c>
      <c r="K735" s="3">
        <v>68.819999999999993</v>
      </c>
      <c r="L735" s="3">
        <v>13970.46</v>
      </c>
      <c r="M735" t="s">
        <v>24</v>
      </c>
    </row>
    <row r="736" spans="1:13">
      <c r="A736" t="s">
        <v>805</v>
      </c>
      <c r="B736" s="2">
        <v>46286</v>
      </c>
      <c r="C736" t="s">
        <v>14</v>
      </c>
      <c r="D736" t="s">
        <v>15</v>
      </c>
      <c r="E736" t="s">
        <v>16</v>
      </c>
      <c r="F736" t="s">
        <v>17</v>
      </c>
      <c r="G736">
        <v>91</v>
      </c>
      <c r="H736">
        <v>114</v>
      </c>
      <c r="I736">
        <v>40</v>
      </c>
      <c r="J736">
        <v>165</v>
      </c>
      <c r="K736" s="3">
        <v>180.67</v>
      </c>
      <c r="L736" s="3">
        <v>29810.55</v>
      </c>
      <c r="M736" t="s">
        <v>24</v>
      </c>
    </row>
    <row r="737" spans="1:13">
      <c r="A737" t="s">
        <v>806</v>
      </c>
      <c r="B737" s="2">
        <v>46270</v>
      </c>
      <c r="C737" t="s">
        <v>77</v>
      </c>
      <c r="D737" t="s">
        <v>78</v>
      </c>
      <c r="E737" t="s">
        <v>16</v>
      </c>
      <c r="F737" t="s">
        <v>17</v>
      </c>
      <c r="G737">
        <v>500</v>
      </c>
      <c r="H737">
        <v>91</v>
      </c>
      <c r="I737">
        <v>10</v>
      </c>
      <c r="J737">
        <v>581</v>
      </c>
      <c r="K737" s="3">
        <v>197.69</v>
      </c>
      <c r="L737" s="3">
        <v>114857.89</v>
      </c>
      <c r="M737" t="s">
        <v>18</v>
      </c>
    </row>
    <row r="738" spans="1:13">
      <c r="A738" t="s">
        <v>807</v>
      </c>
      <c r="B738" s="2">
        <v>46055</v>
      </c>
      <c r="C738" t="s">
        <v>51</v>
      </c>
      <c r="D738" t="s">
        <v>52</v>
      </c>
      <c r="E738" t="s">
        <v>28</v>
      </c>
      <c r="F738" t="s">
        <v>33</v>
      </c>
      <c r="G738">
        <v>155</v>
      </c>
      <c r="H738">
        <v>94</v>
      </c>
      <c r="I738">
        <v>59</v>
      </c>
      <c r="J738">
        <v>190</v>
      </c>
      <c r="K738" s="3">
        <v>25.1</v>
      </c>
      <c r="L738" s="3">
        <v>4769</v>
      </c>
      <c r="M738" t="s">
        <v>49</v>
      </c>
    </row>
    <row r="739" spans="1:13">
      <c r="A739" t="s">
        <v>808</v>
      </c>
      <c r="B739" s="2">
        <v>46207</v>
      </c>
      <c r="C739" t="s">
        <v>59</v>
      </c>
      <c r="D739" t="s">
        <v>60</v>
      </c>
      <c r="E739" t="s">
        <v>16</v>
      </c>
      <c r="F739" t="s">
        <v>17</v>
      </c>
      <c r="G739">
        <v>218</v>
      </c>
      <c r="H739">
        <v>120</v>
      </c>
      <c r="I739">
        <v>116</v>
      </c>
      <c r="J739">
        <v>222</v>
      </c>
      <c r="K739" s="3">
        <v>67.97</v>
      </c>
      <c r="L739" s="3">
        <v>15089.34</v>
      </c>
      <c r="M739" t="s">
        <v>49</v>
      </c>
    </row>
    <row r="740" spans="1:13">
      <c r="A740" t="s">
        <v>809</v>
      </c>
      <c r="B740" s="2">
        <v>46075</v>
      </c>
      <c r="C740" t="s">
        <v>66</v>
      </c>
      <c r="D740" t="s">
        <v>67</v>
      </c>
      <c r="E740" t="s">
        <v>16</v>
      </c>
      <c r="F740" t="s">
        <v>68</v>
      </c>
      <c r="G740">
        <v>380</v>
      </c>
      <c r="H740">
        <v>133</v>
      </c>
      <c r="I740">
        <v>162</v>
      </c>
      <c r="J740">
        <v>351</v>
      </c>
      <c r="K740" s="3">
        <v>66.92</v>
      </c>
      <c r="L740" s="3">
        <v>23488.92</v>
      </c>
      <c r="M740" t="s">
        <v>24</v>
      </c>
    </row>
    <row r="741" spans="1:13">
      <c r="A741" t="s">
        <v>810</v>
      </c>
      <c r="B741" s="2">
        <v>46112</v>
      </c>
      <c r="C741" t="s">
        <v>26</v>
      </c>
      <c r="D741" t="s">
        <v>27</v>
      </c>
      <c r="E741" t="s">
        <v>28</v>
      </c>
      <c r="F741" t="s">
        <v>29</v>
      </c>
      <c r="G741">
        <v>212</v>
      </c>
      <c r="H741">
        <v>167</v>
      </c>
      <c r="I741">
        <v>96</v>
      </c>
      <c r="J741">
        <v>283</v>
      </c>
      <c r="K741" s="3">
        <v>117.29</v>
      </c>
      <c r="L741" s="3">
        <v>33193.07</v>
      </c>
      <c r="M741" t="s">
        <v>24</v>
      </c>
    </row>
    <row r="742" spans="1:13">
      <c r="A742" t="s">
        <v>811</v>
      </c>
      <c r="B742" s="2">
        <v>46287</v>
      </c>
      <c r="C742" t="s">
        <v>31</v>
      </c>
      <c r="D742" t="s">
        <v>32</v>
      </c>
      <c r="E742" t="s">
        <v>28</v>
      </c>
      <c r="F742" t="s">
        <v>33</v>
      </c>
      <c r="G742">
        <v>148</v>
      </c>
      <c r="H742">
        <v>96</v>
      </c>
      <c r="I742">
        <v>57</v>
      </c>
      <c r="J742">
        <v>187</v>
      </c>
      <c r="K742" s="3">
        <v>79.39</v>
      </c>
      <c r="L742" s="3">
        <v>14845.93</v>
      </c>
      <c r="M742" t="s">
        <v>18</v>
      </c>
    </row>
    <row r="743" spans="1:13">
      <c r="A743" t="s">
        <v>812</v>
      </c>
      <c r="B743" s="2">
        <v>46272</v>
      </c>
      <c r="C743" t="s">
        <v>41</v>
      </c>
      <c r="D743" t="s">
        <v>42</v>
      </c>
      <c r="E743" t="s">
        <v>43</v>
      </c>
      <c r="F743" t="s">
        <v>44</v>
      </c>
      <c r="G743">
        <v>425</v>
      </c>
      <c r="H743">
        <v>123</v>
      </c>
      <c r="I743">
        <v>154</v>
      </c>
      <c r="J743">
        <v>394</v>
      </c>
      <c r="K743" s="3">
        <v>131.69999999999999</v>
      </c>
      <c r="L743" s="3">
        <v>51889.8</v>
      </c>
      <c r="M743" t="s">
        <v>49</v>
      </c>
    </row>
    <row r="744" spans="1:13">
      <c r="A744" t="s">
        <v>813</v>
      </c>
      <c r="B744" s="2">
        <v>46107</v>
      </c>
      <c r="C744" t="s">
        <v>55</v>
      </c>
      <c r="D744" t="s">
        <v>56</v>
      </c>
      <c r="E744" t="s">
        <v>28</v>
      </c>
      <c r="F744" t="s">
        <v>29</v>
      </c>
      <c r="G744">
        <v>137</v>
      </c>
      <c r="H744">
        <v>19</v>
      </c>
      <c r="I744">
        <v>131</v>
      </c>
      <c r="J744">
        <v>25</v>
      </c>
      <c r="K744" s="3">
        <v>187.22</v>
      </c>
      <c r="L744" s="3">
        <v>4680.5</v>
      </c>
      <c r="M744" t="s">
        <v>49</v>
      </c>
    </row>
    <row r="745" spans="1:13">
      <c r="A745" t="s">
        <v>814</v>
      </c>
      <c r="B745" s="2">
        <v>46118</v>
      </c>
      <c r="C745" t="s">
        <v>77</v>
      </c>
      <c r="D745" t="s">
        <v>78</v>
      </c>
      <c r="E745" t="s">
        <v>16</v>
      </c>
      <c r="F745" t="s">
        <v>17</v>
      </c>
      <c r="G745">
        <v>100</v>
      </c>
      <c r="H745">
        <v>92</v>
      </c>
      <c r="I745">
        <v>154</v>
      </c>
      <c r="J745">
        <v>38</v>
      </c>
      <c r="K745" s="3">
        <v>214.2</v>
      </c>
      <c r="L745" s="3">
        <v>8139.6</v>
      </c>
      <c r="M745" t="s">
        <v>49</v>
      </c>
    </row>
    <row r="746" spans="1:13">
      <c r="A746" t="s">
        <v>815</v>
      </c>
      <c r="B746" s="2">
        <v>46235</v>
      </c>
      <c r="C746" t="s">
        <v>51</v>
      </c>
      <c r="D746" t="s">
        <v>52</v>
      </c>
      <c r="E746" t="s">
        <v>28</v>
      </c>
      <c r="F746" t="s">
        <v>33</v>
      </c>
      <c r="G746">
        <v>435</v>
      </c>
      <c r="H746">
        <v>84</v>
      </c>
      <c r="I746">
        <v>184</v>
      </c>
      <c r="J746">
        <v>335</v>
      </c>
      <c r="K746" s="3">
        <v>25.41</v>
      </c>
      <c r="L746" s="3">
        <v>8512.35</v>
      </c>
      <c r="M746" t="s">
        <v>24</v>
      </c>
    </row>
    <row r="747" spans="1:13">
      <c r="A747" t="s">
        <v>816</v>
      </c>
      <c r="B747" s="2">
        <v>46268</v>
      </c>
      <c r="C747" t="s">
        <v>124</v>
      </c>
      <c r="D747" t="s">
        <v>125</v>
      </c>
      <c r="E747" t="s">
        <v>22</v>
      </c>
      <c r="F747" t="s">
        <v>23</v>
      </c>
      <c r="G747">
        <v>127</v>
      </c>
      <c r="H747">
        <v>151</v>
      </c>
      <c r="I747">
        <v>41</v>
      </c>
      <c r="J747">
        <v>237</v>
      </c>
      <c r="K747" s="3">
        <v>157.58000000000001</v>
      </c>
      <c r="L747" s="3">
        <v>37346.46</v>
      </c>
      <c r="M747" t="s">
        <v>18</v>
      </c>
    </row>
    <row r="748" spans="1:13">
      <c r="A748" t="s">
        <v>817</v>
      </c>
      <c r="B748" s="2">
        <v>46147</v>
      </c>
      <c r="C748" t="s">
        <v>116</v>
      </c>
      <c r="D748" t="s">
        <v>117</v>
      </c>
      <c r="E748" t="s">
        <v>22</v>
      </c>
      <c r="F748" t="s">
        <v>23</v>
      </c>
      <c r="G748">
        <v>42</v>
      </c>
      <c r="H748">
        <v>32</v>
      </c>
      <c r="I748">
        <v>73</v>
      </c>
      <c r="J748">
        <v>1</v>
      </c>
      <c r="K748" s="3">
        <v>182.78</v>
      </c>
      <c r="L748" s="3">
        <v>182.78</v>
      </c>
      <c r="M748" t="s">
        <v>49</v>
      </c>
    </row>
    <row r="749" spans="1:13">
      <c r="A749" t="s">
        <v>818</v>
      </c>
      <c r="B749" s="2">
        <v>46043</v>
      </c>
      <c r="C749" t="s">
        <v>59</v>
      </c>
      <c r="D749" t="s">
        <v>60</v>
      </c>
      <c r="E749" t="s">
        <v>16</v>
      </c>
      <c r="F749" t="s">
        <v>17</v>
      </c>
      <c r="G749">
        <v>476</v>
      </c>
      <c r="H749">
        <v>146</v>
      </c>
      <c r="I749">
        <v>37</v>
      </c>
      <c r="J749">
        <v>585</v>
      </c>
      <c r="K749" s="3">
        <v>59.51</v>
      </c>
      <c r="L749" s="3">
        <v>34813.35</v>
      </c>
      <c r="M749" t="s">
        <v>18</v>
      </c>
    </row>
    <row r="750" spans="1:13">
      <c r="A750" t="s">
        <v>819</v>
      </c>
      <c r="B750" s="2">
        <v>46287</v>
      </c>
      <c r="C750" t="s">
        <v>14</v>
      </c>
      <c r="D750" t="s">
        <v>15</v>
      </c>
      <c r="E750" t="s">
        <v>16</v>
      </c>
      <c r="F750" t="s">
        <v>17</v>
      </c>
      <c r="G750">
        <v>227</v>
      </c>
      <c r="H750">
        <v>153</v>
      </c>
      <c r="I750">
        <v>144</v>
      </c>
      <c r="J750">
        <v>236</v>
      </c>
      <c r="K750" s="3">
        <v>194.64</v>
      </c>
      <c r="L750" s="3">
        <v>45935.040000000001</v>
      </c>
      <c r="M750" t="s">
        <v>24</v>
      </c>
    </row>
    <row r="751" spans="1:13">
      <c r="A751" t="s">
        <v>820</v>
      </c>
      <c r="B751" s="2">
        <v>46066</v>
      </c>
      <c r="C751" t="s">
        <v>71</v>
      </c>
      <c r="D751" t="s">
        <v>72</v>
      </c>
      <c r="E751" t="s">
        <v>22</v>
      </c>
      <c r="F751" t="s">
        <v>68</v>
      </c>
      <c r="G751">
        <v>130</v>
      </c>
      <c r="H751">
        <v>114</v>
      </c>
      <c r="I751">
        <v>155</v>
      </c>
      <c r="J751">
        <v>89</v>
      </c>
      <c r="K751" s="3">
        <v>12.14</v>
      </c>
      <c r="L751" s="3">
        <v>1080.46</v>
      </c>
      <c r="M751" t="s">
        <v>18</v>
      </c>
    </row>
    <row r="752" spans="1:13">
      <c r="A752" t="s">
        <v>821</v>
      </c>
      <c r="B752" s="2">
        <v>46135</v>
      </c>
      <c r="C752" t="s">
        <v>14</v>
      </c>
      <c r="D752" t="s">
        <v>15</v>
      </c>
      <c r="E752" t="s">
        <v>16</v>
      </c>
      <c r="F752" t="s">
        <v>17</v>
      </c>
      <c r="G752">
        <v>445</v>
      </c>
      <c r="H752">
        <v>105</v>
      </c>
      <c r="I752">
        <v>153</v>
      </c>
      <c r="J752">
        <v>397</v>
      </c>
      <c r="K752" s="3">
        <v>179.56</v>
      </c>
      <c r="L752" s="3">
        <v>71285.320000000007</v>
      </c>
      <c r="M752" t="s">
        <v>24</v>
      </c>
    </row>
    <row r="753" spans="1:13">
      <c r="A753" t="s">
        <v>822</v>
      </c>
      <c r="B753" s="2">
        <v>46284</v>
      </c>
      <c r="C753" t="s">
        <v>14</v>
      </c>
      <c r="D753" t="s">
        <v>15</v>
      </c>
      <c r="E753" t="s">
        <v>16</v>
      </c>
      <c r="F753" t="s">
        <v>17</v>
      </c>
      <c r="G753">
        <v>155</v>
      </c>
      <c r="H753">
        <v>42</v>
      </c>
      <c r="I753">
        <v>185</v>
      </c>
      <c r="J753">
        <v>12</v>
      </c>
      <c r="K753" s="3">
        <v>196.1</v>
      </c>
      <c r="L753" s="3">
        <v>2353.1999999999998</v>
      </c>
      <c r="M753" t="s">
        <v>18</v>
      </c>
    </row>
    <row r="754" spans="1:13">
      <c r="A754" t="s">
        <v>823</v>
      </c>
      <c r="B754" s="2">
        <v>46058</v>
      </c>
      <c r="C754" t="s">
        <v>80</v>
      </c>
      <c r="D754" t="s">
        <v>81</v>
      </c>
      <c r="E754" t="s">
        <v>28</v>
      </c>
      <c r="F754" t="s">
        <v>33</v>
      </c>
      <c r="G754">
        <v>137</v>
      </c>
      <c r="H754">
        <v>96</v>
      </c>
      <c r="I754">
        <v>98</v>
      </c>
      <c r="J754">
        <v>135</v>
      </c>
      <c r="K754" s="3">
        <v>4.5199999999999996</v>
      </c>
      <c r="L754" s="3">
        <v>610.20000000000005</v>
      </c>
      <c r="M754" t="s">
        <v>49</v>
      </c>
    </row>
    <row r="755" spans="1:13">
      <c r="A755" t="s">
        <v>824</v>
      </c>
      <c r="B755" s="2">
        <v>46290</v>
      </c>
      <c r="C755" t="s">
        <v>99</v>
      </c>
      <c r="D755" t="s">
        <v>100</v>
      </c>
      <c r="E755" t="s">
        <v>43</v>
      </c>
      <c r="F755" t="s">
        <v>44</v>
      </c>
      <c r="G755">
        <v>460</v>
      </c>
      <c r="H755">
        <v>129</v>
      </c>
      <c r="I755">
        <v>175</v>
      </c>
      <c r="J755">
        <v>414</v>
      </c>
      <c r="K755" s="3">
        <v>246.92</v>
      </c>
      <c r="L755" s="3">
        <v>102224.88</v>
      </c>
      <c r="M755" t="s">
        <v>49</v>
      </c>
    </row>
    <row r="756" spans="1:13">
      <c r="A756" t="s">
        <v>825</v>
      </c>
      <c r="B756" s="2">
        <v>46072</v>
      </c>
      <c r="C756" t="s">
        <v>80</v>
      </c>
      <c r="D756" t="s">
        <v>81</v>
      </c>
      <c r="E756" t="s">
        <v>28</v>
      </c>
      <c r="F756" t="s">
        <v>33</v>
      </c>
      <c r="G756">
        <v>110</v>
      </c>
      <c r="H756">
        <v>121</v>
      </c>
      <c r="I756">
        <v>157</v>
      </c>
      <c r="J756">
        <v>74</v>
      </c>
      <c r="K756" s="3">
        <v>4.88</v>
      </c>
      <c r="L756" s="3">
        <v>361.12</v>
      </c>
      <c r="M756" t="s">
        <v>24</v>
      </c>
    </row>
    <row r="757" spans="1:13">
      <c r="A757" t="s">
        <v>826</v>
      </c>
      <c r="B757" s="2">
        <v>46083</v>
      </c>
      <c r="C757" t="s">
        <v>59</v>
      </c>
      <c r="D757" t="s">
        <v>60</v>
      </c>
      <c r="E757" t="s">
        <v>16</v>
      </c>
      <c r="F757" t="s">
        <v>17</v>
      </c>
      <c r="G757">
        <v>67</v>
      </c>
      <c r="H757">
        <v>123</v>
      </c>
      <c r="I757">
        <v>168</v>
      </c>
      <c r="J757">
        <v>22</v>
      </c>
      <c r="K757" s="3">
        <v>60.27</v>
      </c>
      <c r="L757" s="3">
        <v>1325.94</v>
      </c>
      <c r="M757" t="s">
        <v>24</v>
      </c>
    </row>
    <row r="758" spans="1:13">
      <c r="A758" t="s">
        <v>827</v>
      </c>
      <c r="B758" s="2">
        <v>46023</v>
      </c>
      <c r="C758" t="s">
        <v>47</v>
      </c>
      <c r="D758" t="s">
        <v>48</v>
      </c>
      <c r="E758" t="s">
        <v>43</v>
      </c>
      <c r="F758" t="s">
        <v>44</v>
      </c>
      <c r="G758">
        <v>479</v>
      </c>
      <c r="H758">
        <v>173</v>
      </c>
      <c r="I758">
        <v>166</v>
      </c>
      <c r="J758">
        <v>486</v>
      </c>
      <c r="K758" s="3">
        <v>164.4</v>
      </c>
      <c r="L758" s="3">
        <v>79898.399999999994</v>
      </c>
      <c r="M758" t="s">
        <v>18</v>
      </c>
    </row>
    <row r="759" spans="1:13">
      <c r="A759" t="s">
        <v>828</v>
      </c>
      <c r="B759" s="2">
        <v>46045</v>
      </c>
      <c r="C759" t="s">
        <v>41</v>
      </c>
      <c r="D759" t="s">
        <v>42</v>
      </c>
      <c r="E759" t="s">
        <v>43</v>
      </c>
      <c r="F759" t="s">
        <v>44</v>
      </c>
      <c r="G759">
        <v>377</v>
      </c>
      <c r="H759">
        <v>135</v>
      </c>
      <c r="I759">
        <v>109</v>
      </c>
      <c r="J759">
        <v>403</v>
      </c>
      <c r="K759" s="3">
        <v>136.79</v>
      </c>
      <c r="L759" s="3">
        <v>55126.37</v>
      </c>
      <c r="M759" t="s">
        <v>18</v>
      </c>
    </row>
    <row r="760" spans="1:13">
      <c r="A760" t="s">
        <v>829</v>
      </c>
      <c r="B760" s="2">
        <v>46202</v>
      </c>
      <c r="C760" t="s">
        <v>136</v>
      </c>
      <c r="D760" t="s">
        <v>137</v>
      </c>
      <c r="E760" t="s">
        <v>37</v>
      </c>
      <c r="F760" t="s">
        <v>38</v>
      </c>
      <c r="G760">
        <v>321</v>
      </c>
      <c r="H760">
        <v>178</v>
      </c>
      <c r="I760">
        <v>147</v>
      </c>
      <c r="J760">
        <v>352</v>
      </c>
      <c r="K760" s="3">
        <v>9.68</v>
      </c>
      <c r="L760" s="3">
        <v>3407.36</v>
      </c>
      <c r="M760" t="s">
        <v>49</v>
      </c>
    </row>
    <row r="761" spans="1:13">
      <c r="A761" t="s">
        <v>830</v>
      </c>
      <c r="B761" s="2">
        <v>46267</v>
      </c>
      <c r="C761" t="s">
        <v>26</v>
      </c>
      <c r="D761" t="s">
        <v>27</v>
      </c>
      <c r="E761" t="s">
        <v>28</v>
      </c>
      <c r="F761" t="s">
        <v>29</v>
      </c>
      <c r="G761">
        <v>412</v>
      </c>
      <c r="H761">
        <v>59</v>
      </c>
      <c r="I761">
        <v>219</v>
      </c>
      <c r="J761">
        <v>252</v>
      </c>
      <c r="K761" s="3">
        <v>111.89</v>
      </c>
      <c r="L761" s="3">
        <v>28196.28</v>
      </c>
      <c r="M761" t="s">
        <v>24</v>
      </c>
    </row>
    <row r="762" spans="1:13">
      <c r="A762" t="s">
        <v>831</v>
      </c>
      <c r="B762" s="2">
        <v>46232</v>
      </c>
      <c r="C762" t="s">
        <v>47</v>
      </c>
      <c r="D762" t="s">
        <v>48</v>
      </c>
      <c r="E762" t="s">
        <v>43</v>
      </c>
      <c r="F762" t="s">
        <v>44</v>
      </c>
      <c r="G762">
        <v>151</v>
      </c>
      <c r="H762">
        <v>48</v>
      </c>
      <c r="I762">
        <v>1</v>
      </c>
      <c r="J762">
        <v>198</v>
      </c>
      <c r="K762" s="3">
        <v>171.79</v>
      </c>
      <c r="L762" s="3">
        <v>34014.42</v>
      </c>
      <c r="M762" t="s">
        <v>49</v>
      </c>
    </row>
    <row r="763" spans="1:13">
      <c r="A763" t="s">
        <v>832</v>
      </c>
      <c r="B763" s="2">
        <v>46290</v>
      </c>
      <c r="C763" t="s">
        <v>35</v>
      </c>
      <c r="D763" t="s">
        <v>36</v>
      </c>
      <c r="E763" t="s">
        <v>37</v>
      </c>
      <c r="F763" t="s">
        <v>38</v>
      </c>
      <c r="G763">
        <v>80</v>
      </c>
      <c r="H763">
        <v>133</v>
      </c>
      <c r="I763">
        <v>1</v>
      </c>
      <c r="J763">
        <v>212</v>
      </c>
      <c r="K763" s="3">
        <v>222.67</v>
      </c>
      <c r="L763" s="3">
        <v>47206.04</v>
      </c>
      <c r="M763" t="s">
        <v>49</v>
      </c>
    </row>
    <row r="764" spans="1:13">
      <c r="A764" t="s">
        <v>833</v>
      </c>
      <c r="B764" s="2">
        <v>46232</v>
      </c>
      <c r="C764" t="s">
        <v>66</v>
      </c>
      <c r="D764" t="s">
        <v>67</v>
      </c>
      <c r="E764" t="s">
        <v>16</v>
      </c>
      <c r="F764" t="s">
        <v>68</v>
      </c>
      <c r="G764">
        <v>205</v>
      </c>
      <c r="H764">
        <v>27</v>
      </c>
      <c r="I764">
        <v>39</v>
      </c>
      <c r="J764">
        <v>193</v>
      </c>
      <c r="K764" s="3">
        <v>62.81</v>
      </c>
      <c r="L764" s="3">
        <v>12122.33</v>
      </c>
      <c r="M764" t="s">
        <v>24</v>
      </c>
    </row>
    <row r="765" spans="1:13">
      <c r="A765" t="s">
        <v>834</v>
      </c>
      <c r="B765" s="2">
        <v>46156</v>
      </c>
      <c r="C765" t="s">
        <v>26</v>
      </c>
      <c r="D765" t="s">
        <v>27</v>
      </c>
      <c r="E765" t="s">
        <v>28</v>
      </c>
      <c r="F765" t="s">
        <v>29</v>
      </c>
      <c r="G765">
        <v>457</v>
      </c>
      <c r="H765">
        <v>137</v>
      </c>
      <c r="I765">
        <v>108</v>
      </c>
      <c r="J765">
        <v>486</v>
      </c>
      <c r="K765" s="3">
        <v>121.11</v>
      </c>
      <c r="L765" s="3">
        <v>58859.46</v>
      </c>
      <c r="M765" t="s">
        <v>24</v>
      </c>
    </row>
    <row r="766" spans="1:13">
      <c r="A766" t="s">
        <v>835</v>
      </c>
      <c r="B766" s="2">
        <v>46226</v>
      </c>
      <c r="C766" t="s">
        <v>26</v>
      </c>
      <c r="D766" t="s">
        <v>27</v>
      </c>
      <c r="E766" t="s">
        <v>28</v>
      </c>
      <c r="F766" t="s">
        <v>29</v>
      </c>
      <c r="G766">
        <v>406</v>
      </c>
      <c r="H766">
        <v>52</v>
      </c>
      <c r="I766">
        <v>105</v>
      </c>
      <c r="J766">
        <v>353</v>
      </c>
      <c r="K766" s="3">
        <v>120.87</v>
      </c>
      <c r="L766" s="3">
        <v>42667.11</v>
      </c>
      <c r="M766" t="s">
        <v>24</v>
      </c>
    </row>
    <row r="767" spans="1:13">
      <c r="A767" t="s">
        <v>836</v>
      </c>
      <c r="B767" s="2">
        <v>46114</v>
      </c>
      <c r="C767" t="s">
        <v>124</v>
      </c>
      <c r="D767" t="s">
        <v>125</v>
      </c>
      <c r="E767" t="s">
        <v>22</v>
      </c>
      <c r="F767" t="s">
        <v>23</v>
      </c>
      <c r="G767">
        <v>209</v>
      </c>
      <c r="H767">
        <v>143</v>
      </c>
      <c r="I767">
        <v>142</v>
      </c>
      <c r="J767">
        <v>210</v>
      </c>
      <c r="K767" s="3">
        <v>153.55000000000001</v>
      </c>
      <c r="L767" s="3">
        <v>32245.5</v>
      </c>
      <c r="M767" t="s">
        <v>18</v>
      </c>
    </row>
    <row r="768" spans="1:13">
      <c r="A768" t="s">
        <v>837</v>
      </c>
      <c r="B768" s="2">
        <v>46199</v>
      </c>
      <c r="C768" t="s">
        <v>35</v>
      </c>
      <c r="D768" t="s">
        <v>36</v>
      </c>
      <c r="E768" t="s">
        <v>37</v>
      </c>
      <c r="F768" t="s">
        <v>38</v>
      </c>
      <c r="G768">
        <v>416</v>
      </c>
      <c r="H768">
        <v>180</v>
      </c>
      <c r="I768">
        <v>101</v>
      </c>
      <c r="J768">
        <v>495</v>
      </c>
      <c r="K768" s="3">
        <v>235.78</v>
      </c>
      <c r="L768" s="3">
        <v>116711.1</v>
      </c>
      <c r="M768" t="s">
        <v>24</v>
      </c>
    </row>
    <row r="769" spans="1:13">
      <c r="A769" t="s">
        <v>838</v>
      </c>
      <c r="B769" s="2">
        <v>46140</v>
      </c>
      <c r="C769" t="s">
        <v>20</v>
      </c>
      <c r="D769" t="s">
        <v>21</v>
      </c>
      <c r="E769" t="s">
        <v>22</v>
      </c>
      <c r="F769" t="s">
        <v>23</v>
      </c>
      <c r="G769">
        <v>248</v>
      </c>
      <c r="H769">
        <v>179</v>
      </c>
      <c r="I769">
        <v>41</v>
      </c>
      <c r="J769">
        <v>386</v>
      </c>
      <c r="K769" s="3">
        <v>60.68</v>
      </c>
      <c r="L769" s="3">
        <v>23422.48</v>
      </c>
      <c r="M769" t="s">
        <v>24</v>
      </c>
    </row>
    <row r="770" spans="1:13">
      <c r="A770" t="s">
        <v>839</v>
      </c>
      <c r="B770" s="2">
        <v>46196</v>
      </c>
      <c r="C770" t="s">
        <v>136</v>
      </c>
      <c r="D770" t="s">
        <v>137</v>
      </c>
      <c r="E770" t="s">
        <v>37</v>
      </c>
      <c r="F770" t="s">
        <v>38</v>
      </c>
      <c r="G770">
        <v>430</v>
      </c>
      <c r="H770">
        <v>140</v>
      </c>
      <c r="I770">
        <v>157</v>
      </c>
      <c r="J770">
        <v>413</v>
      </c>
      <c r="K770" s="3">
        <v>10.68</v>
      </c>
      <c r="L770" s="3">
        <v>4410.84</v>
      </c>
      <c r="M770" t="s">
        <v>24</v>
      </c>
    </row>
    <row r="771" spans="1:13">
      <c r="A771" t="s">
        <v>840</v>
      </c>
      <c r="B771" s="2">
        <v>46105</v>
      </c>
      <c r="C771" t="s">
        <v>86</v>
      </c>
      <c r="D771" t="s">
        <v>87</v>
      </c>
      <c r="E771" t="s">
        <v>43</v>
      </c>
      <c r="F771" t="s">
        <v>44</v>
      </c>
      <c r="G771">
        <v>219</v>
      </c>
      <c r="H771">
        <v>162</v>
      </c>
      <c r="I771">
        <v>1</v>
      </c>
      <c r="J771">
        <v>380</v>
      </c>
      <c r="K771" s="3">
        <v>10.41</v>
      </c>
      <c r="L771" s="3">
        <v>3955.8</v>
      </c>
      <c r="M771" t="s">
        <v>49</v>
      </c>
    </row>
    <row r="772" spans="1:13">
      <c r="A772" t="s">
        <v>841</v>
      </c>
      <c r="B772" s="2">
        <v>46245</v>
      </c>
      <c r="C772" t="s">
        <v>124</v>
      </c>
      <c r="D772" t="s">
        <v>125</v>
      </c>
      <c r="E772" t="s">
        <v>22</v>
      </c>
      <c r="F772" t="s">
        <v>23</v>
      </c>
      <c r="G772">
        <v>65</v>
      </c>
      <c r="H772">
        <v>16</v>
      </c>
      <c r="I772">
        <v>33</v>
      </c>
      <c r="J772">
        <v>48</v>
      </c>
      <c r="K772" s="3">
        <v>147.1</v>
      </c>
      <c r="L772" s="3">
        <v>7060.8</v>
      </c>
      <c r="M772" t="s">
        <v>49</v>
      </c>
    </row>
    <row r="773" spans="1:13">
      <c r="A773" t="s">
        <v>842</v>
      </c>
      <c r="B773" s="2">
        <v>46042</v>
      </c>
      <c r="C773" t="s">
        <v>80</v>
      </c>
      <c r="D773" t="s">
        <v>81</v>
      </c>
      <c r="E773" t="s">
        <v>28</v>
      </c>
      <c r="F773" t="s">
        <v>33</v>
      </c>
      <c r="G773">
        <v>390</v>
      </c>
      <c r="H773">
        <v>98</v>
      </c>
      <c r="I773">
        <v>102</v>
      </c>
      <c r="J773">
        <v>386</v>
      </c>
      <c r="K773" s="3">
        <v>4.8899999999999997</v>
      </c>
      <c r="L773" s="3">
        <v>1887.54</v>
      </c>
      <c r="M773" t="s">
        <v>24</v>
      </c>
    </row>
    <row r="774" spans="1:13">
      <c r="A774" t="s">
        <v>843</v>
      </c>
      <c r="B774" s="2">
        <v>46052</v>
      </c>
      <c r="C774" t="s">
        <v>71</v>
      </c>
      <c r="D774" t="s">
        <v>72</v>
      </c>
      <c r="E774" t="s">
        <v>22</v>
      </c>
      <c r="F774" t="s">
        <v>68</v>
      </c>
      <c r="G774">
        <v>416</v>
      </c>
      <c r="H774">
        <v>44</v>
      </c>
      <c r="I774">
        <v>163</v>
      </c>
      <c r="J774">
        <v>297</v>
      </c>
      <c r="K774" s="3">
        <v>11.24</v>
      </c>
      <c r="L774" s="3">
        <v>3338.28</v>
      </c>
      <c r="M774" t="s">
        <v>49</v>
      </c>
    </row>
    <row r="775" spans="1:13">
      <c r="A775" t="s">
        <v>844</v>
      </c>
      <c r="B775" s="2">
        <v>46288</v>
      </c>
      <c r="C775" t="s">
        <v>99</v>
      </c>
      <c r="D775" t="s">
        <v>100</v>
      </c>
      <c r="E775" t="s">
        <v>43</v>
      </c>
      <c r="F775" t="s">
        <v>44</v>
      </c>
      <c r="G775">
        <v>166</v>
      </c>
      <c r="H775">
        <v>49</v>
      </c>
      <c r="I775">
        <v>8</v>
      </c>
      <c r="J775">
        <v>207</v>
      </c>
      <c r="K775" s="3">
        <v>261.5</v>
      </c>
      <c r="L775" s="3">
        <v>54130.5</v>
      </c>
      <c r="M775" t="s">
        <v>24</v>
      </c>
    </row>
    <row r="776" spans="1:13">
      <c r="A776" t="s">
        <v>845</v>
      </c>
      <c r="B776" s="2">
        <v>46141</v>
      </c>
      <c r="C776" t="s">
        <v>59</v>
      </c>
      <c r="D776" t="s">
        <v>60</v>
      </c>
      <c r="E776" t="s">
        <v>16</v>
      </c>
      <c r="F776" t="s">
        <v>17</v>
      </c>
      <c r="G776">
        <v>334</v>
      </c>
      <c r="H776">
        <v>43</v>
      </c>
      <c r="I776">
        <v>172</v>
      </c>
      <c r="J776">
        <v>205</v>
      </c>
      <c r="K776" s="3">
        <v>59.31</v>
      </c>
      <c r="L776" s="3">
        <v>12158.55</v>
      </c>
      <c r="M776" t="s">
        <v>49</v>
      </c>
    </row>
    <row r="777" spans="1:13">
      <c r="A777" t="s">
        <v>846</v>
      </c>
      <c r="B777" s="2">
        <v>46103</v>
      </c>
      <c r="C777" t="s">
        <v>116</v>
      </c>
      <c r="D777" t="s">
        <v>117</v>
      </c>
      <c r="E777" t="s">
        <v>22</v>
      </c>
      <c r="F777" t="s">
        <v>23</v>
      </c>
      <c r="G777">
        <v>64</v>
      </c>
      <c r="H777">
        <v>70</v>
      </c>
      <c r="I777">
        <v>102</v>
      </c>
      <c r="J777">
        <v>32</v>
      </c>
      <c r="K777" s="3">
        <v>175.89</v>
      </c>
      <c r="L777" s="3">
        <v>5628.48</v>
      </c>
      <c r="M777" t="s">
        <v>18</v>
      </c>
    </row>
    <row r="778" spans="1:13">
      <c r="A778" t="s">
        <v>847</v>
      </c>
      <c r="B778" s="2">
        <v>46125</v>
      </c>
      <c r="C778" t="s">
        <v>136</v>
      </c>
      <c r="D778" t="s">
        <v>137</v>
      </c>
      <c r="E778" t="s">
        <v>37</v>
      </c>
      <c r="F778" t="s">
        <v>38</v>
      </c>
      <c r="G778">
        <v>285</v>
      </c>
      <c r="H778">
        <v>3</v>
      </c>
      <c r="I778">
        <v>188</v>
      </c>
      <c r="J778">
        <v>100</v>
      </c>
      <c r="K778" s="3">
        <v>10.69</v>
      </c>
      <c r="L778" s="3">
        <v>1069</v>
      </c>
      <c r="M778" t="s">
        <v>49</v>
      </c>
    </row>
    <row r="779" spans="1:13">
      <c r="A779" t="s">
        <v>848</v>
      </c>
      <c r="B779" s="2">
        <v>46168</v>
      </c>
      <c r="C779" t="s">
        <v>47</v>
      </c>
      <c r="D779" t="s">
        <v>48</v>
      </c>
      <c r="E779" t="s">
        <v>43</v>
      </c>
      <c r="F779" t="s">
        <v>44</v>
      </c>
      <c r="G779">
        <v>391</v>
      </c>
      <c r="H779">
        <v>143</v>
      </c>
      <c r="I779">
        <v>149</v>
      </c>
      <c r="J779">
        <v>385</v>
      </c>
      <c r="K779" s="3">
        <v>162.19</v>
      </c>
      <c r="L779" s="3">
        <v>62443.15</v>
      </c>
      <c r="M779" t="s">
        <v>18</v>
      </c>
    </row>
    <row r="780" spans="1:13">
      <c r="A780" t="s">
        <v>849</v>
      </c>
      <c r="B780" s="2">
        <v>46122</v>
      </c>
      <c r="C780" t="s">
        <v>51</v>
      </c>
      <c r="D780" t="s">
        <v>52</v>
      </c>
      <c r="E780" t="s">
        <v>28</v>
      </c>
      <c r="F780" t="s">
        <v>33</v>
      </c>
      <c r="G780">
        <v>252</v>
      </c>
      <c r="H780">
        <v>103</v>
      </c>
      <c r="I780">
        <v>147</v>
      </c>
      <c r="J780">
        <v>208</v>
      </c>
      <c r="K780" s="3">
        <v>24.94</v>
      </c>
      <c r="L780" s="3">
        <v>5187.5200000000004</v>
      </c>
      <c r="M780" t="s">
        <v>49</v>
      </c>
    </row>
    <row r="781" spans="1:13">
      <c r="A781" t="s">
        <v>850</v>
      </c>
      <c r="B781" s="2">
        <v>46282</v>
      </c>
      <c r="C781" t="s">
        <v>62</v>
      </c>
      <c r="D781" t="s">
        <v>63</v>
      </c>
      <c r="E781" t="s">
        <v>37</v>
      </c>
      <c r="F781" t="s">
        <v>38</v>
      </c>
      <c r="G781">
        <v>74</v>
      </c>
      <c r="H781">
        <v>143</v>
      </c>
      <c r="I781">
        <v>18</v>
      </c>
      <c r="J781">
        <v>199</v>
      </c>
      <c r="K781" s="3">
        <v>58.11</v>
      </c>
      <c r="L781" s="3">
        <v>11563.89</v>
      </c>
      <c r="M781" t="s">
        <v>18</v>
      </c>
    </row>
    <row r="782" spans="1:13">
      <c r="A782" t="s">
        <v>851</v>
      </c>
      <c r="B782" s="2">
        <v>46285</v>
      </c>
      <c r="C782" t="s">
        <v>20</v>
      </c>
      <c r="D782" t="s">
        <v>21</v>
      </c>
      <c r="E782" t="s">
        <v>22</v>
      </c>
      <c r="F782" t="s">
        <v>23</v>
      </c>
      <c r="G782">
        <v>151</v>
      </c>
      <c r="H782">
        <v>137</v>
      </c>
      <c r="I782">
        <v>208</v>
      </c>
      <c r="J782">
        <v>80</v>
      </c>
      <c r="K782" s="3">
        <v>67.87</v>
      </c>
      <c r="L782" s="3">
        <v>5429.6</v>
      </c>
      <c r="M782" t="s">
        <v>18</v>
      </c>
    </row>
    <row r="783" spans="1:13">
      <c r="A783" t="s">
        <v>852</v>
      </c>
      <c r="B783" s="2">
        <v>46216</v>
      </c>
      <c r="C783" t="s">
        <v>55</v>
      </c>
      <c r="D783" t="s">
        <v>56</v>
      </c>
      <c r="E783" t="s">
        <v>28</v>
      </c>
      <c r="F783" t="s">
        <v>29</v>
      </c>
      <c r="G783">
        <v>308</v>
      </c>
      <c r="H783">
        <v>123</v>
      </c>
      <c r="I783">
        <v>197</v>
      </c>
      <c r="J783">
        <v>234</v>
      </c>
      <c r="K783" s="3">
        <v>175.5</v>
      </c>
      <c r="L783" s="3">
        <v>41067</v>
      </c>
      <c r="M783" t="s">
        <v>18</v>
      </c>
    </row>
    <row r="784" spans="1:13">
      <c r="A784" t="s">
        <v>853</v>
      </c>
      <c r="B784" s="2">
        <v>46258</v>
      </c>
      <c r="C784" t="s">
        <v>55</v>
      </c>
      <c r="D784" t="s">
        <v>56</v>
      </c>
      <c r="E784" t="s">
        <v>28</v>
      </c>
      <c r="F784" t="s">
        <v>29</v>
      </c>
      <c r="G784">
        <v>479</v>
      </c>
      <c r="H784">
        <v>150</v>
      </c>
      <c r="I784">
        <v>220</v>
      </c>
      <c r="J784">
        <v>409</v>
      </c>
      <c r="K784" s="3">
        <v>169.18</v>
      </c>
      <c r="L784" s="3">
        <v>69194.62</v>
      </c>
      <c r="M784" t="s">
        <v>49</v>
      </c>
    </row>
    <row r="785" spans="1:13">
      <c r="A785" t="s">
        <v>854</v>
      </c>
      <c r="B785" s="2">
        <v>46057</v>
      </c>
      <c r="C785" t="s">
        <v>26</v>
      </c>
      <c r="D785" t="s">
        <v>27</v>
      </c>
      <c r="E785" t="s">
        <v>28</v>
      </c>
      <c r="F785" t="s">
        <v>29</v>
      </c>
      <c r="G785">
        <v>215</v>
      </c>
      <c r="H785">
        <v>162</v>
      </c>
      <c r="I785">
        <v>201</v>
      </c>
      <c r="J785">
        <v>176</v>
      </c>
      <c r="K785" s="3">
        <v>129.35</v>
      </c>
      <c r="L785" s="3">
        <v>22765.599999999999</v>
      </c>
      <c r="M785" t="s">
        <v>24</v>
      </c>
    </row>
    <row r="786" spans="1:13">
      <c r="A786" t="s">
        <v>855</v>
      </c>
      <c r="B786" s="2">
        <v>46184</v>
      </c>
      <c r="C786" t="s">
        <v>51</v>
      </c>
      <c r="D786" t="s">
        <v>52</v>
      </c>
      <c r="E786" t="s">
        <v>28</v>
      </c>
      <c r="F786" t="s">
        <v>33</v>
      </c>
      <c r="G786">
        <v>231</v>
      </c>
      <c r="H786">
        <v>90</v>
      </c>
      <c r="I786">
        <v>132</v>
      </c>
      <c r="J786">
        <v>189</v>
      </c>
      <c r="K786" s="3">
        <v>27.24</v>
      </c>
      <c r="L786" s="3">
        <v>5148.3599999999997</v>
      </c>
      <c r="M786" t="s">
        <v>24</v>
      </c>
    </row>
    <row r="787" spans="1:13">
      <c r="A787" t="s">
        <v>856</v>
      </c>
      <c r="B787" s="2">
        <v>46150</v>
      </c>
      <c r="C787" t="s">
        <v>26</v>
      </c>
      <c r="D787" t="s">
        <v>27</v>
      </c>
      <c r="E787" t="s">
        <v>28</v>
      </c>
      <c r="F787" t="s">
        <v>29</v>
      </c>
      <c r="G787">
        <v>167</v>
      </c>
      <c r="H787">
        <v>23</v>
      </c>
      <c r="I787">
        <v>102</v>
      </c>
      <c r="J787">
        <v>88</v>
      </c>
      <c r="K787" s="3">
        <v>123.2</v>
      </c>
      <c r="L787" s="3">
        <v>10841.6</v>
      </c>
      <c r="M787" t="s">
        <v>18</v>
      </c>
    </row>
    <row r="788" spans="1:13">
      <c r="A788" t="s">
        <v>857</v>
      </c>
      <c r="B788" s="2">
        <v>46114</v>
      </c>
      <c r="C788" t="s">
        <v>31</v>
      </c>
      <c r="D788" t="s">
        <v>32</v>
      </c>
      <c r="E788" t="s">
        <v>28</v>
      </c>
      <c r="F788" t="s">
        <v>33</v>
      </c>
      <c r="G788">
        <v>263</v>
      </c>
      <c r="H788">
        <v>80</v>
      </c>
      <c r="I788">
        <v>90</v>
      </c>
      <c r="J788">
        <v>253</v>
      </c>
      <c r="K788" s="3">
        <v>75.62</v>
      </c>
      <c r="L788" s="3">
        <v>19131.86</v>
      </c>
      <c r="M788" t="s">
        <v>24</v>
      </c>
    </row>
    <row r="789" spans="1:13">
      <c r="A789" t="s">
        <v>858</v>
      </c>
      <c r="B789" s="2">
        <v>46116</v>
      </c>
      <c r="C789" t="s">
        <v>26</v>
      </c>
      <c r="D789" t="s">
        <v>27</v>
      </c>
      <c r="E789" t="s">
        <v>28</v>
      </c>
      <c r="F789" t="s">
        <v>29</v>
      </c>
      <c r="G789">
        <v>402</v>
      </c>
      <c r="H789">
        <v>174</v>
      </c>
      <c r="I789">
        <v>48</v>
      </c>
      <c r="J789">
        <v>528</v>
      </c>
      <c r="K789" s="3">
        <v>119.85</v>
      </c>
      <c r="L789" s="3">
        <v>63280.800000000003</v>
      </c>
      <c r="M789" t="s">
        <v>49</v>
      </c>
    </row>
    <row r="790" spans="1:13">
      <c r="A790" t="s">
        <v>859</v>
      </c>
      <c r="B790" s="2">
        <v>46146</v>
      </c>
      <c r="C790" t="s">
        <v>51</v>
      </c>
      <c r="D790" t="s">
        <v>52</v>
      </c>
      <c r="E790" t="s">
        <v>28</v>
      </c>
      <c r="F790" t="s">
        <v>33</v>
      </c>
      <c r="G790">
        <v>466</v>
      </c>
      <c r="H790">
        <v>67</v>
      </c>
      <c r="I790">
        <v>52</v>
      </c>
      <c r="J790">
        <v>481</v>
      </c>
      <c r="K790" s="3">
        <v>25.91</v>
      </c>
      <c r="L790" s="3">
        <v>12462.71</v>
      </c>
      <c r="M790" t="s">
        <v>49</v>
      </c>
    </row>
    <row r="791" spans="1:13">
      <c r="A791" t="s">
        <v>860</v>
      </c>
      <c r="B791" s="2">
        <v>46205</v>
      </c>
      <c r="C791" t="s">
        <v>80</v>
      </c>
      <c r="D791" t="s">
        <v>81</v>
      </c>
      <c r="E791" t="s">
        <v>28</v>
      </c>
      <c r="F791" t="s">
        <v>33</v>
      </c>
      <c r="G791">
        <v>99</v>
      </c>
      <c r="H791">
        <v>27</v>
      </c>
      <c r="I791">
        <v>15</v>
      </c>
      <c r="J791">
        <v>111</v>
      </c>
      <c r="K791" s="3">
        <v>5.12</v>
      </c>
      <c r="L791" s="3">
        <v>568.32000000000005</v>
      </c>
      <c r="M791" t="s">
        <v>24</v>
      </c>
    </row>
    <row r="792" spans="1:13">
      <c r="A792" t="s">
        <v>861</v>
      </c>
      <c r="B792" s="2">
        <v>46026</v>
      </c>
      <c r="C792" t="s">
        <v>124</v>
      </c>
      <c r="D792" t="s">
        <v>125</v>
      </c>
      <c r="E792" t="s">
        <v>22</v>
      </c>
      <c r="F792" t="s">
        <v>23</v>
      </c>
      <c r="G792">
        <v>411</v>
      </c>
      <c r="H792">
        <v>138</v>
      </c>
      <c r="I792">
        <v>10</v>
      </c>
      <c r="J792">
        <v>539</v>
      </c>
      <c r="K792" s="3">
        <v>162.52000000000001</v>
      </c>
      <c r="L792" s="3">
        <v>87598.28</v>
      </c>
      <c r="M792" t="s">
        <v>18</v>
      </c>
    </row>
    <row r="793" spans="1:13">
      <c r="A793" t="s">
        <v>862</v>
      </c>
      <c r="B793" s="2">
        <v>46184</v>
      </c>
      <c r="C793" t="s">
        <v>80</v>
      </c>
      <c r="D793" t="s">
        <v>81</v>
      </c>
      <c r="E793" t="s">
        <v>28</v>
      </c>
      <c r="F793" t="s">
        <v>33</v>
      </c>
      <c r="G793">
        <v>272</v>
      </c>
      <c r="H793">
        <v>147</v>
      </c>
      <c r="I793">
        <v>70</v>
      </c>
      <c r="J793">
        <v>349</v>
      </c>
      <c r="K793" s="3">
        <v>4.79</v>
      </c>
      <c r="L793" s="3">
        <v>1671.71</v>
      </c>
      <c r="M793" t="s">
        <v>24</v>
      </c>
    </row>
    <row r="794" spans="1:13">
      <c r="A794" t="s">
        <v>863</v>
      </c>
      <c r="B794" s="2">
        <v>46226</v>
      </c>
      <c r="C794" t="s">
        <v>26</v>
      </c>
      <c r="D794" t="s">
        <v>27</v>
      </c>
      <c r="E794" t="s">
        <v>28</v>
      </c>
      <c r="F794" t="s">
        <v>29</v>
      </c>
      <c r="G794">
        <v>133</v>
      </c>
      <c r="H794">
        <v>147</v>
      </c>
      <c r="I794">
        <v>32</v>
      </c>
      <c r="J794">
        <v>248</v>
      </c>
      <c r="K794" s="3">
        <v>111.32</v>
      </c>
      <c r="L794" s="3">
        <v>27607.360000000001</v>
      </c>
      <c r="M794" t="s">
        <v>18</v>
      </c>
    </row>
    <row r="795" spans="1:13">
      <c r="A795" t="s">
        <v>864</v>
      </c>
      <c r="B795" s="2">
        <v>46039</v>
      </c>
      <c r="C795" t="s">
        <v>124</v>
      </c>
      <c r="D795" t="s">
        <v>125</v>
      </c>
      <c r="E795" t="s">
        <v>22</v>
      </c>
      <c r="F795" t="s">
        <v>23</v>
      </c>
      <c r="G795">
        <v>277</v>
      </c>
      <c r="H795">
        <v>88</v>
      </c>
      <c r="I795">
        <v>100</v>
      </c>
      <c r="J795">
        <v>265</v>
      </c>
      <c r="K795" s="3">
        <v>162.83000000000001</v>
      </c>
      <c r="L795" s="3">
        <v>43149.95</v>
      </c>
      <c r="M795" t="s">
        <v>49</v>
      </c>
    </row>
    <row r="796" spans="1:13">
      <c r="A796" t="s">
        <v>865</v>
      </c>
      <c r="B796" s="2">
        <v>46084</v>
      </c>
      <c r="C796" t="s">
        <v>55</v>
      </c>
      <c r="D796" t="s">
        <v>56</v>
      </c>
      <c r="E796" t="s">
        <v>28</v>
      </c>
      <c r="F796" t="s">
        <v>29</v>
      </c>
      <c r="G796">
        <v>377</v>
      </c>
      <c r="H796">
        <v>132</v>
      </c>
      <c r="I796">
        <v>117</v>
      </c>
      <c r="J796">
        <v>392</v>
      </c>
      <c r="K796" s="3">
        <v>177.62</v>
      </c>
      <c r="L796" s="3">
        <v>69627.039999999994</v>
      </c>
      <c r="M796" t="s">
        <v>49</v>
      </c>
    </row>
    <row r="797" spans="1:13">
      <c r="A797" t="s">
        <v>866</v>
      </c>
      <c r="B797" s="2">
        <v>46130</v>
      </c>
      <c r="C797" t="s">
        <v>116</v>
      </c>
      <c r="D797" t="s">
        <v>117</v>
      </c>
      <c r="E797" t="s">
        <v>22</v>
      </c>
      <c r="F797" t="s">
        <v>23</v>
      </c>
      <c r="G797">
        <v>214</v>
      </c>
      <c r="H797">
        <v>148</v>
      </c>
      <c r="I797">
        <v>25</v>
      </c>
      <c r="J797">
        <v>337</v>
      </c>
      <c r="K797" s="3">
        <v>175.09</v>
      </c>
      <c r="L797" s="3">
        <v>59005.33</v>
      </c>
      <c r="M797" t="s">
        <v>24</v>
      </c>
    </row>
    <row r="798" spans="1:13">
      <c r="A798" t="s">
        <v>867</v>
      </c>
      <c r="B798" s="2">
        <v>46118</v>
      </c>
      <c r="C798" t="s">
        <v>26</v>
      </c>
      <c r="D798" t="s">
        <v>27</v>
      </c>
      <c r="E798" t="s">
        <v>28</v>
      </c>
      <c r="F798" t="s">
        <v>29</v>
      </c>
      <c r="G798">
        <v>300</v>
      </c>
      <c r="H798">
        <v>67</v>
      </c>
      <c r="I798">
        <v>60</v>
      </c>
      <c r="J798">
        <v>307</v>
      </c>
      <c r="K798" s="3">
        <v>115.45</v>
      </c>
      <c r="L798" s="3">
        <v>35443.15</v>
      </c>
      <c r="M798" t="s">
        <v>24</v>
      </c>
    </row>
    <row r="799" spans="1:13">
      <c r="A799" t="s">
        <v>868</v>
      </c>
      <c r="B799" s="2">
        <v>46210</v>
      </c>
      <c r="C799" t="s">
        <v>66</v>
      </c>
      <c r="D799" t="s">
        <v>67</v>
      </c>
      <c r="E799" t="s">
        <v>16</v>
      </c>
      <c r="F799" t="s">
        <v>68</v>
      </c>
      <c r="G799">
        <v>114</v>
      </c>
      <c r="H799">
        <v>127</v>
      </c>
      <c r="I799">
        <v>108</v>
      </c>
      <c r="J799">
        <v>133</v>
      </c>
      <c r="K799" s="3">
        <v>60.62</v>
      </c>
      <c r="L799" s="3">
        <v>8062.46</v>
      </c>
      <c r="M799" t="s">
        <v>24</v>
      </c>
    </row>
    <row r="800" spans="1:13">
      <c r="A800" t="s">
        <v>869</v>
      </c>
      <c r="B800" s="2">
        <v>46209</v>
      </c>
      <c r="C800" t="s">
        <v>41</v>
      </c>
      <c r="D800" t="s">
        <v>42</v>
      </c>
      <c r="E800" t="s">
        <v>43</v>
      </c>
      <c r="F800" t="s">
        <v>44</v>
      </c>
      <c r="G800">
        <v>457</v>
      </c>
      <c r="H800">
        <v>102</v>
      </c>
      <c r="I800">
        <v>71</v>
      </c>
      <c r="J800">
        <v>488</v>
      </c>
      <c r="K800" s="3">
        <v>141.86000000000001</v>
      </c>
      <c r="L800" s="3">
        <v>69227.679999999993</v>
      </c>
      <c r="M800" t="s">
        <v>24</v>
      </c>
    </row>
    <row r="801" spans="1:13">
      <c r="A801" t="s">
        <v>870</v>
      </c>
      <c r="B801" s="2">
        <v>46140</v>
      </c>
      <c r="C801" t="s">
        <v>77</v>
      </c>
      <c r="D801" t="s">
        <v>78</v>
      </c>
      <c r="E801" t="s">
        <v>16</v>
      </c>
      <c r="F801" t="s">
        <v>17</v>
      </c>
      <c r="G801">
        <v>436</v>
      </c>
      <c r="H801">
        <v>25</v>
      </c>
      <c r="I801">
        <v>184</v>
      </c>
      <c r="J801">
        <v>277</v>
      </c>
      <c r="K801" s="3">
        <v>199.38</v>
      </c>
      <c r="L801" s="3">
        <v>55228.26</v>
      </c>
      <c r="M801" t="s">
        <v>49</v>
      </c>
    </row>
    <row r="802" spans="1:13">
      <c r="A802" t="s">
        <v>871</v>
      </c>
      <c r="B802" s="2">
        <v>46244</v>
      </c>
      <c r="C802" t="s">
        <v>47</v>
      </c>
      <c r="D802" t="s">
        <v>48</v>
      </c>
      <c r="E802" t="s">
        <v>43</v>
      </c>
      <c r="F802" t="s">
        <v>44</v>
      </c>
      <c r="G802">
        <v>458</v>
      </c>
      <c r="H802">
        <v>97</v>
      </c>
      <c r="I802">
        <v>50</v>
      </c>
      <c r="J802">
        <v>505</v>
      </c>
      <c r="K802" s="3">
        <v>156.81</v>
      </c>
      <c r="L802" s="3">
        <v>79189.05</v>
      </c>
      <c r="M802" t="s">
        <v>24</v>
      </c>
    </row>
    <row r="803" spans="1:13">
      <c r="A803" t="s">
        <v>872</v>
      </c>
      <c r="B803" s="2">
        <v>46265</v>
      </c>
      <c r="C803" t="s">
        <v>77</v>
      </c>
      <c r="D803" t="s">
        <v>78</v>
      </c>
      <c r="E803" t="s">
        <v>16</v>
      </c>
      <c r="F803" t="s">
        <v>17</v>
      </c>
      <c r="G803">
        <v>432</v>
      </c>
      <c r="H803">
        <v>2</v>
      </c>
      <c r="I803">
        <v>45</v>
      </c>
      <c r="J803">
        <v>389</v>
      </c>
      <c r="K803" s="3">
        <v>204.4</v>
      </c>
      <c r="L803" s="3">
        <v>79511.600000000006</v>
      </c>
      <c r="M803" t="s">
        <v>49</v>
      </c>
    </row>
    <row r="804" spans="1:13">
      <c r="A804" t="s">
        <v>873</v>
      </c>
      <c r="B804" s="2">
        <v>46184</v>
      </c>
      <c r="C804" t="s">
        <v>59</v>
      </c>
      <c r="D804" t="s">
        <v>60</v>
      </c>
      <c r="E804" t="s">
        <v>16</v>
      </c>
      <c r="F804" t="s">
        <v>17</v>
      </c>
      <c r="G804">
        <v>422</v>
      </c>
      <c r="H804">
        <v>124</v>
      </c>
      <c r="I804">
        <v>76</v>
      </c>
      <c r="J804">
        <v>470</v>
      </c>
      <c r="K804" s="3">
        <v>61.51</v>
      </c>
      <c r="L804" s="3">
        <v>28909.7</v>
      </c>
      <c r="M804" t="s">
        <v>24</v>
      </c>
    </row>
    <row r="805" spans="1:13">
      <c r="A805" t="s">
        <v>874</v>
      </c>
      <c r="B805" s="2">
        <v>46226</v>
      </c>
      <c r="C805" t="s">
        <v>86</v>
      </c>
      <c r="D805" t="s">
        <v>87</v>
      </c>
      <c r="E805" t="s">
        <v>43</v>
      </c>
      <c r="F805" t="s">
        <v>44</v>
      </c>
      <c r="G805">
        <v>70</v>
      </c>
      <c r="H805">
        <v>176</v>
      </c>
      <c r="I805">
        <v>41</v>
      </c>
      <c r="J805">
        <v>205</v>
      </c>
      <c r="K805" s="3">
        <v>9.23</v>
      </c>
      <c r="L805" s="3">
        <v>1892.15</v>
      </c>
      <c r="M805" t="s">
        <v>18</v>
      </c>
    </row>
    <row r="806" spans="1:13">
      <c r="A806" t="s">
        <v>875</v>
      </c>
      <c r="B806" s="2">
        <v>46072</v>
      </c>
      <c r="C806" t="s">
        <v>124</v>
      </c>
      <c r="D806" t="s">
        <v>125</v>
      </c>
      <c r="E806" t="s">
        <v>22</v>
      </c>
      <c r="F806" t="s">
        <v>23</v>
      </c>
      <c r="G806">
        <v>250</v>
      </c>
      <c r="H806">
        <v>85</v>
      </c>
      <c r="I806">
        <v>66</v>
      </c>
      <c r="J806">
        <v>269</v>
      </c>
      <c r="K806" s="3">
        <v>150.52000000000001</v>
      </c>
      <c r="L806" s="3">
        <v>40489.879999999997</v>
      </c>
      <c r="M806" t="s">
        <v>24</v>
      </c>
    </row>
    <row r="807" spans="1:13">
      <c r="A807" t="s">
        <v>876</v>
      </c>
      <c r="B807" s="2">
        <v>46154</v>
      </c>
      <c r="C807" t="s">
        <v>47</v>
      </c>
      <c r="D807" t="s">
        <v>48</v>
      </c>
      <c r="E807" t="s">
        <v>43</v>
      </c>
      <c r="F807" t="s">
        <v>44</v>
      </c>
      <c r="G807">
        <v>196</v>
      </c>
      <c r="H807">
        <v>5</v>
      </c>
      <c r="I807">
        <v>105</v>
      </c>
      <c r="J807">
        <v>96</v>
      </c>
      <c r="K807" s="3">
        <v>156.15</v>
      </c>
      <c r="L807" s="3">
        <v>14990.4</v>
      </c>
      <c r="M807" t="s">
        <v>24</v>
      </c>
    </row>
    <row r="808" spans="1:13">
      <c r="A808" t="s">
        <v>877</v>
      </c>
      <c r="B808" s="2">
        <v>46124</v>
      </c>
      <c r="C808" t="s">
        <v>80</v>
      </c>
      <c r="D808" t="s">
        <v>81</v>
      </c>
      <c r="E808" t="s">
        <v>28</v>
      </c>
      <c r="F808" t="s">
        <v>33</v>
      </c>
      <c r="G808">
        <v>315</v>
      </c>
      <c r="H808">
        <v>147</v>
      </c>
      <c r="I808">
        <v>166</v>
      </c>
      <c r="J808">
        <v>296</v>
      </c>
      <c r="K808" s="3">
        <v>4.91</v>
      </c>
      <c r="L808" s="3">
        <v>1453.36</v>
      </c>
      <c r="M808" t="s">
        <v>49</v>
      </c>
    </row>
    <row r="809" spans="1:13">
      <c r="A809" t="s">
        <v>878</v>
      </c>
      <c r="B809" s="2">
        <v>46204</v>
      </c>
      <c r="C809" t="s">
        <v>71</v>
      </c>
      <c r="D809" t="s">
        <v>72</v>
      </c>
      <c r="E809" t="s">
        <v>22</v>
      </c>
      <c r="F809" t="s">
        <v>68</v>
      </c>
      <c r="G809">
        <v>186</v>
      </c>
      <c r="H809">
        <v>172</v>
      </c>
      <c r="I809">
        <v>130</v>
      </c>
      <c r="J809">
        <v>228</v>
      </c>
      <c r="K809" s="3">
        <v>11.23</v>
      </c>
      <c r="L809" s="3">
        <v>2560.44</v>
      </c>
      <c r="M809" t="s">
        <v>24</v>
      </c>
    </row>
    <row r="810" spans="1:13">
      <c r="A810" t="s">
        <v>879</v>
      </c>
      <c r="B810" s="2">
        <v>46063</v>
      </c>
      <c r="C810" t="s">
        <v>55</v>
      </c>
      <c r="D810" t="s">
        <v>56</v>
      </c>
      <c r="E810" t="s">
        <v>28</v>
      </c>
      <c r="F810" t="s">
        <v>29</v>
      </c>
      <c r="G810">
        <v>215</v>
      </c>
      <c r="H810">
        <v>157</v>
      </c>
      <c r="I810">
        <v>73</v>
      </c>
      <c r="J810">
        <v>299</v>
      </c>
      <c r="K810" s="3">
        <v>181.96</v>
      </c>
      <c r="L810" s="3">
        <v>54406.04</v>
      </c>
      <c r="M810" t="s">
        <v>49</v>
      </c>
    </row>
    <row r="811" spans="1:13">
      <c r="A811" t="s">
        <v>880</v>
      </c>
      <c r="B811" s="2">
        <v>46195</v>
      </c>
      <c r="C811" t="s">
        <v>14</v>
      </c>
      <c r="D811" t="s">
        <v>15</v>
      </c>
      <c r="E811" t="s">
        <v>16</v>
      </c>
      <c r="F811" t="s">
        <v>17</v>
      </c>
      <c r="G811">
        <v>235</v>
      </c>
      <c r="H811">
        <v>161</v>
      </c>
      <c r="I811">
        <v>156</v>
      </c>
      <c r="J811">
        <v>240</v>
      </c>
      <c r="K811" s="3">
        <v>192.63</v>
      </c>
      <c r="L811" s="3">
        <v>46231.199999999997</v>
      </c>
      <c r="M811" t="s">
        <v>49</v>
      </c>
    </row>
    <row r="812" spans="1:13">
      <c r="A812" t="s">
        <v>881</v>
      </c>
      <c r="B812" s="2">
        <v>46105</v>
      </c>
      <c r="C812" t="s">
        <v>31</v>
      </c>
      <c r="D812" t="s">
        <v>32</v>
      </c>
      <c r="E812" t="s">
        <v>28</v>
      </c>
      <c r="F812" t="s">
        <v>33</v>
      </c>
      <c r="G812">
        <v>195</v>
      </c>
      <c r="H812">
        <v>58</v>
      </c>
      <c r="I812">
        <v>80</v>
      </c>
      <c r="J812">
        <v>173</v>
      </c>
      <c r="K812" s="3">
        <v>76.86</v>
      </c>
      <c r="L812" s="3">
        <v>13296.78</v>
      </c>
      <c r="M812" t="s">
        <v>18</v>
      </c>
    </row>
    <row r="813" spans="1:13">
      <c r="A813" t="s">
        <v>882</v>
      </c>
      <c r="B813" s="2">
        <v>46225</v>
      </c>
      <c r="C813" t="s">
        <v>26</v>
      </c>
      <c r="D813" t="s">
        <v>27</v>
      </c>
      <c r="E813" t="s">
        <v>28</v>
      </c>
      <c r="F813" t="s">
        <v>29</v>
      </c>
      <c r="G813">
        <v>158</v>
      </c>
      <c r="H813">
        <v>113</v>
      </c>
      <c r="I813">
        <v>199</v>
      </c>
      <c r="J813">
        <v>72</v>
      </c>
      <c r="K813" s="3">
        <v>126.83</v>
      </c>
      <c r="L813" s="3">
        <v>9131.76</v>
      </c>
      <c r="M813" t="s">
        <v>18</v>
      </c>
    </row>
    <row r="814" spans="1:13">
      <c r="A814" t="s">
        <v>883</v>
      </c>
      <c r="B814" s="2">
        <v>46289</v>
      </c>
      <c r="C814" t="s">
        <v>35</v>
      </c>
      <c r="D814" t="s">
        <v>36</v>
      </c>
      <c r="E814" t="s">
        <v>37</v>
      </c>
      <c r="F814" t="s">
        <v>38</v>
      </c>
      <c r="G814">
        <v>250</v>
      </c>
      <c r="H814">
        <v>105</v>
      </c>
      <c r="I814">
        <v>42</v>
      </c>
      <c r="J814">
        <v>313</v>
      </c>
      <c r="K814" s="3">
        <v>215.72</v>
      </c>
      <c r="L814" s="3">
        <v>67520.36</v>
      </c>
      <c r="M814" t="s">
        <v>49</v>
      </c>
    </row>
    <row r="815" spans="1:13">
      <c r="A815" t="s">
        <v>884</v>
      </c>
      <c r="B815" s="2">
        <v>46143</v>
      </c>
      <c r="C815" t="s">
        <v>77</v>
      </c>
      <c r="D815" t="s">
        <v>78</v>
      </c>
      <c r="E815" t="s">
        <v>16</v>
      </c>
      <c r="F815" t="s">
        <v>17</v>
      </c>
      <c r="G815">
        <v>358</v>
      </c>
      <c r="H815">
        <v>64</v>
      </c>
      <c r="I815">
        <v>190</v>
      </c>
      <c r="J815">
        <v>232</v>
      </c>
      <c r="K815" s="3">
        <v>213.65</v>
      </c>
      <c r="L815" s="3">
        <v>49566.8</v>
      </c>
      <c r="M815" t="s">
        <v>49</v>
      </c>
    </row>
    <row r="816" spans="1:13">
      <c r="A816" t="s">
        <v>885</v>
      </c>
      <c r="B816" s="2">
        <v>46108</v>
      </c>
      <c r="C816" t="s">
        <v>99</v>
      </c>
      <c r="D816" t="s">
        <v>100</v>
      </c>
      <c r="E816" t="s">
        <v>43</v>
      </c>
      <c r="F816" t="s">
        <v>44</v>
      </c>
      <c r="G816">
        <v>223</v>
      </c>
      <c r="H816">
        <v>26</v>
      </c>
      <c r="I816">
        <v>24</v>
      </c>
      <c r="J816">
        <v>225</v>
      </c>
      <c r="K816" s="3">
        <v>232.68</v>
      </c>
      <c r="L816" s="3">
        <v>52353</v>
      </c>
      <c r="M816" t="s">
        <v>18</v>
      </c>
    </row>
    <row r="817" spans="1:13">
      <c r="A817" t="s">
        <v>886</v>
      </c>
      <c r="B817" s="2">
        <v>46050</v>
      </c>
      <c r="C817" t="s">
        <v>47</v>
      </c>
      <c r="D817" t="s">
        <v>48</v>
      </c>
      <c r="E817" t="s">
        <v>43</v>
      </c>
      <c r="F817" t="s">
        <v>44</v>
      </c>
      <c r="G817">
        <v>33</v>
      </c>
      <c r="H817">
        <v>101</v>
      </c>
      <c r="I817">
        <v>134</v>
      </c>
      <c r="J817">
        <v>0</v>
      </c>
      <c r="K817" s="3">
        <v>173.27</v>
      </c>
      <c r="L817" s="3">
        <v>0</v>
      </c>
      <c r="M817" t="s">
        <v>49</v>
      </c>
    </row>
    <row r="818" spans="1:13">
      <c r="A818" t="s">
        <v>887</v>
      </c>
      <c r="B818" s="2">
        <v>46157</v>
      </c>
      <c r="C818" t="s">
        <v>20</v>
      </c>
      <c r="D818" t="s">
        <v>21</v>
      </c>
      <c r="E818" t="s">
        <v>22</v>
      </c>
      <c r="F818" t="s">
        <v>23</v>
      </c>
      <c r="G818">
        <v>336</v>
      </c>
      <c r="H818">
        <v>39</v>
      </c>
      <c r="I818">
        <v>21</v>
      </c>
      <c r="J818">
        <v>354</v>
      </c>
      <c r="K818" s="3">
        <v>66.44</v>
      </c>
      <c r="L818" s="3">
        <v>23519.759999999998</v>
      </c>
      <c r="M818" t="s">
        <v>18</v>
      </c>
    </row>
    <row r="819" spans="1:13">
      <c r="A819" t="s">
        <v>888</v>
      </c>
      <c r="B819" s="2">
        <v>46140</v>
      </c>
      <c r="C819" t="s">
        <v>71</v>
      </c>
      <c r="D819" t="s">
        <v>72</v>
      </c>
      <c r="E819" t="s">
        <v>22</v>
      </c>
      <c r="F819" t="s">
        <v>68</v>
      </c>
      <c r="G819">
        <v>146</v>
      </c>
      <c r="H819">
        <v>72</v>
      </c>
      <c r="I819">
        <v>113</v>
      </c>
      <c r="J819">
        <v>105</v>
      </c>
      <c r="K819" s="3">
        <v>11.48</v>
      </c>
      <c r="L819" s="3">
        <v>1205.4000000000001</v>
      </c>
      <c r="M819" t="s">
        <v>49</v>
      </c>
    </row>
    <row r="820" spans="1:13">
      <c r="A820" t="s">
        <v>889</v>
      </c>
      <c r="B820" s="2">
        <v>46110</v>
      </c>
      <c r="C820" t="s">
        <v>59</v>
      </c>
      <c r="D820" t="s">
        <v>60</v>
      </c>
      <c r="E820" t="s">
        <v>16</v>
      </c>
      <c r="F820" t="s">
        <v>17</v>
      </c>
      <c r="G820">
        <v>34</v>
      </c>
      <c r="H820">
        <v>8</v>
      </c>
      <c r="I820">
        <v>42</v>
      </c>
      <c r="J820">
        <v>0</v>
      </c>
      <c r="K820" s="3">
        <v>62.59</v>
      </c>
      <c r="L820" s="3">
        <v>0</v>
      </c>
      <c r="M820" t="s">
        <v>18</v>
      </c>
    </row>
    <row r="821" spans="1:13">
      <c r="A821" t="s">
        <v>890</v>
      </c>
      <c r="B821" s="2">
        <v>46262</v>
      </c>
      <c r="C821" t="s">
        <v>124</v>
      </c>
      <c r="D821" t="s">
        <v>125</v>
      </c>
      <c r="E821" t="s">
        <v>22</v>
      </c>
      <c r="F821" t="s">
        <v>23</v>
      </c>
      <c r="G821">
        <v>465</v>
      </c>
      <c r="H821">
        <v>138</v>
      </c>
      <c r="I821">
        <v>69</v>
      </c>
      <c r="J821">
        <v>534</v>
      </c>
      <c r="K821" s="3">
        <v>155.13999999999999</v>
      </c>
      <c r="L821" s="3">
        <v>82844.759999999995</v>
      </c>
      <c r="M821" t="s">
        <v>49</v>
      </c>
    </row>
    <row r="822" spans="1:13">
      <c r="A822" t="s">
        <v>891</v>
      </c>
      <c r="B822" s="2">
        <v>46113</v>
      </c>
      <c r="C822" t="s">
        <v>47</v>
      </c>
      <c r="D822" t="s">
        <v>48</v>
      </c>
      <c r="E822" t="s">
        <v>43</v>
      </c>
      <c r="F822" t="s">
        <v>44</v>
      </c>
      <c r="G822">
        <v>322</v>
      </c>
      <c r="H822">
        <v>152</v>
      </c>
      <c r="I822">
        <v>116</v>
      </c>
      <c r="J822">
        <v>358</v>
      </c>
      <c r="K822" s="3">
        <v>169.71</v>
      </c>
      <c r="L822" s="3">
        <v>60756.18</v>
      </c>
      <c r="M822" t="s">
        <v>24</v>
      </c>
    </row>
    <row r="823" spans="1:13">
      <c r="A823" t="s">
        <v>892</v>
      </c>
      <c r="B823" s="2">
        <v>46245</v>
      </c>
      <c r="C823" t="s">
        <v>35</v>
      </c>
      <c r="D823" t="s">
        <v>36</v>
      </c>
      <c r="E823" t="s">
        <v>37</v>
      </c>
      <c r="F823" t="s">
        <v>38</v>
      </c>
      <c r="G823">
        <v>288</v>
      </c>
      <c r="H823">
        <v>163</v>
      </c>
      <c r="I823">
        <v>163</v>
      </c>
      <c r="J823">
        <v>288</v>
      </c>
      <c r="K823" s="3">
        <v>228.44</v>
      </c>
      <c r="L823" s="3">
        <v>65790.720000000001</v>
      </c>
      <c r="M823" t="s">
        <v>18</v>
      </c>
    </row>
    <row r="824" spans="1:13">
      <c r="A824" t="s">
        <v>893</v>
      </c>
      <c r="B824" s="2">
        <v>46139</v>
      </c>
      <c r="C824" t="s">
        <v>124</v>
      </c>
      <c r="D824" t="s">
        <v>125</v>
      </c>
      <c r="E824" t="s">
        <v>22</v>
      </c>
      <c r="F824" t="s">
        <v>23</v>
      </c>
      <c r="G824">
        <v>432</v>
      </c>
      <c r="H824">
        <v>22</v>
      </c>
      <c r="I824">
        <v>113</v>
      </c>
      <c r="J824">
        <v>341</v>
      </c>
      <c r="K824" s="3">
        <v>149.22</v>
      </c>
      <c r="L824" s="3">
        <v>50884.02</v>
      </c>
      <c r="M824" t="s">
        <v>18</v>
      </c>
    </row>
    <row r="825" spans="1:13">
      <c r="A825" t="s">
        <v>894</v>
      </c>
      <c r="B825" s="2">
        <v>46102</v>
      </c>
      <c r="C825" t="s">
        <v>26</v>
      </c>
      <c r="D825" t="s">
        <v>27</v>
      </c>
      <c r="E825" t="s">
        <v>28</v>
      </c>
      <c r="F825" t="s">
        <v>29</v>
      </c>
      <c r="G825">
        <v>175</v>
      </c>
      <c r="H825">
        <v>2</v>
      </c>
      <c r="I825">
        <v>0</v>
      </c>
      <c r="J825">
        <v>177</v>
      </c>
      <c r="K825" s="3">
        <v>120.32</v>
      </c>
      <c r="L825" s="3">
        <v>21296.639999999999</v>
      </c>
      <c r="M825" t="s">
        <v>49</v>
      </c>
    </row>
    <row r="826" spans="1:13">
      <c r="A826" t="s">
        <v>895</v>
      </c>
      <c r="B826" s="2">
        <v>46169</v>
      </c>
      <c r="C826" t="s">
        <v>41</v>
      </c>
      <c r="D826" t="s">
        <v>42</v>
      </c>
      <c r="E826" t="s">
        <v>43</v>
      </c>
      <c r="F826" t="s">
        <v>44</v>
      </c>
      <c r="G826">
        <v>260</v>
      </c>
      <c r="H826">
        <v>136</v>
      </c>
      <c r="I826">
        <v>2</v>
      </c>
      <c r="J826">
        <v>394</v>
      </c>
      <c r="K826" s="3">
        <v>147.28</v>
      </c>
      <c r="L826" s="3">
        <v>58028.32</v>
      </c>
      <c r="M826" t="s">
        <v>390</v>
      </c>
    </row>
    <row r="827" spans="1:13">
      <c r="A827" t="s">
        <v>896</v>
      </c>
      <c r="B827" s="2">
        <v>46176</v>
      </c>
      <c r="C827" t="s">
        <v>124</v>
      </c>
      <c r="D827" t="s">
        <v>125</v>
      </c>
      <c r="E827" t="s">
        <v>22</v>
      </c>
      <c r="F827" t="s">
        <v>23</v>
      </c>
      <c r="G827">
        <v>24</v>
      </c>
      <c r="H827">
        <v>110</v>
      </c>
      <c r="I827">
        <v>74</v>
      </c>
      <c r="J827">
        <v>60</v>
      </c>
      <c r="K827" s="3">
        <v>156.34</v>
      </c>
      <c r="L827" s="3">
        <v>9380.4</v>
      </c>
      <c r="M827" t="s">
        <v>49</v>
      </c>
    </row>
    <row r="828" spans="1:13">
      <c r="A828" t="s">
        <v>897</v>
      </c>
      <c r="B828" s="2">
        <v>46214</v>
      </c>
      <c r="C828" t="s">
        <v>47</v>
      </c>
      <c r="D828" t="s">
        <v>48</v>
      </c>
      <c r="E828" t="s">
        <v>43</v>
      </c>
      <c r="F828" t="s">
        <v>44</v>
      </c>
      <c r="G828">
        <v>116</v>
      </c>
      <c r="H828">
        <v>105</v>
      </c>
      <c r="I828">
        <v>143</v>
      </c>
      <c r="J828">
        <v>78</v>
      </c>
      <c r="K828" s="3">
        <v>164.55</v>
      </c>
      <c r="L828" s="3">
        <v>12834.9</v>
      </c>
      <c r="M828" t="s">
        <v>49</v>
      </c>
    </row>
    <row r="829" spans="1:13">
      <c r="A829" t="s">
        <v>898</v>
      </c>
      <c r="B829" s="2">
        <v>46222</v>
      </c>
      <c r="C829" t="s">
        <v>14</v>
      </c>
      <c r="D829" t="s">
        <v>15</v>
      </c>
      <c r="E829" t="s">
        <v>16</v>
      </c>
      <c r="F829" t="s">
        <v>17</v>
      </c>
      <c r="G829">
        <v>444</v>
      </c>
      <c r="H829">
        <v>96</v>
      </c>
      <c r="I829">
        <v>56</v>
      </c>
      <c r="J829">
        <v>484</v>
      </c>
      <c r="K829" s="3">
        <v>183.22</v>
      </c>
      <c r="L829" s="3">
        <v>88678.48</v>
      </c>
      <c r="M829" t="s">
        <v>18</v>
      </c>
    </row>
    <row r="830" spans="1:13">
      <c r="A830" t="s">
        <v>899</v>
      </c>
      <c r="B830" s="2">
        <v>46287</v>
      </c>
      <c r="C830" t="s">
        <v>51</v>
      </c>
      <c r="D830" t="s">
        <v>52</v>
      </c>
      <c r="E830" t="s">
        <v>28</v>
      </c>
      <c r="F830" t="s">
        <v>33</v>
      </c>
      <c r="G830">
        <v>411</v>
      </c>
      <c r="H830">
        <v>156</v>
      </c>
      <c r="I830">
        <v>206</v>
      </c>
      <c r="J830">
        <v>361</v>
      </c>
      <c r="K830" s="3">
        <v>27.92</v>
      </c>
      <c r="L830" s="3">
        <v>10079.120000000001</v>
      </c>
      <c r="M830" t="s">
        <v>18</v>
      </c>
    </row>
    <row r="831" spans="1:13">
      <c r="A831" t="s">
        <v>900</v>
      </c>
      <c r="B831" s="2">
        <v>46295</v>
      </c>
      <c r="C831" t="s">
        <v>71</v>
      </c>
      <c r="D831" t="s">
        <v>72</v>
      </c>
      <c r="E831" t="s">
        <v>22</v>
      </c>
      <c r="F831" t="s">
        <v>68</v>
      </c>
      <c r="G831">
        <v>434</v>
      </c>
      <c r="H831">
        <v>68</v>
      </c>
      <c r="I831">
        <v>105</v>
      </c>
      <c r="J831">
        <v>397</v>
      </c>
      <c r="K831" s="3">
        <v>10.69</v>
      </c>
      <c r="L831" s="3">
        <v>4243.93</v>
      </c>
      <c r="M831" t="s">
        <v>49</v>
      </c>
    </row>
    <row r="832" spans="1:13">
      <c r="A832" t="s">
        <v>901</v>
      </c>
      <c r="B832" s="2">
        <v>46092</v>
      </c>
      <c r="C832" t="s">
        <v>14</v>
      </c>
      <c r="D832" t="s">
        <v>15</v>
      </c>
      <c r="E832" t="s">
        <v>16</v>
      </c>
      <c r="F832" t="s">
        <v>17</v>
      </c>
      <c r="G832">
        <v>168</v>
      </c>
      <c r="H832">
        <v>28</v>
      </c>
      <c r="I832">
        <v>163</v>
      </c>
      <c r="J832">
        <v>33</v>
      </c>
      <c r="K832" s="3">
        <v>189.09</v>
      </c>
      <c r="L832" s="3">
        <v>6239.97</v>
      </c>
      <c r="M832" t="s">
        <v>18</v>
      </c>
    </row>
    <row r="833" spans="1:13">
      <c r="A833" t="s">
        <v>902</v>
      </c>
      <c r="B833" s="2">
        <v>46274</v>
      </c>
      <c r="C833" t="s">
        <v>26</v>
      </c>
      <c r="D833" t="s">
        <v>27</v>
      </c>
      <c r="E833" t="s">
        <v>28</v>
      </c>
      <c r="F833" t="s">
        <v>29</v>
      </c>
      <c r="G833">
        <v>116</v>
      </c>
      <c r="H833">
        <v>82</v>
      </c>
      <c r="I833">
        <v>4</v>
      </c>
      <c r="J833">
        <v>194</v>
      </c>
      <c r="K833" s="3">
        <v>113.2</v>
      </c>
      <c r="L833" s="3">
        <v>21960.799999999999</v>
      </c>
      <c r="M833" t="s">
        <v>24</v>
      </c>
    </row>
    <row r="834" spans="1:13">
      <c r="A834" t="s">
        <v>903</v>
      </c>
      <c r="B834" s="2">
        <v>46118</v>
      </c>
      <c r="C834" t="s">
        <v>116</v>
      </c>
      <c r="D834" t="s">
        <v>117</v>
      </c>
      <c r="E834" t="s">
        <v>22</v>
      </c>
      <c r="F834" t="s">
        <v>23</v>
      </c>
      <c r="G834">
        <v>72</v>
      </c>
      <c r="H834">
        <v>72</v>
      </c>
      <c r="I834">
        <v>68</v>
      </c>
      <c r="J834">
        <v>76</v>
      </c>
      <c r="K834" s="3">
        <v>169.32</v>
      </c>
      <c r="L834" s="3">
        <v>12868.32</v>
      </c>
      <c r="M834" t="s">
        <v>18</v>
      </c>
    </row>
    <row r="835" spans="1:13">
      <c r="A835" t="s">
        <v>904</v>
      </c>
      <c r="B835" s="2">
        <v>46142</v>
      </c>
      <c r="C835" t="s">
        <v>116</v>
      </c>
      <c r="D835" t="s">
        <v>117</v>
      </c>
      <c r="E835" t="s">
        <v>22</v>
      </c>
      <c r="F835" t="s">
        <v>23</v>
      </c>
      <c r="G835">
        <v>66</v>
      </c>
      <c r="H835">
        <v>38</v>
      </c>
      <c r="I835">
        <v>1</v>
      </c>
      <c r="J835">
        <v>103</v>
      </c>
      <c r="K835" s="3">
        <v>179.94</v>
      </c>
      <c r="L835" s="3">
        <v>18533.82</v>
      </c>
      <c r="M835" t="s">
        <v>18</v>
      </c>
    </row>
    <row r="836" spans="1:13">
      <c r="A836" t="s">
        <v>905</v>
      </c>
      <c r="B836" s="2">
        <v>46182</v>
      </c>
      <c r="C836" t="s">
        <v>62</v>
      </c>
      <c r="D836" t="s">
        <v>63</v>
      </c>
      <c r="E836" t="s">
        <v>37</v>
      </c>
      <c r="F836" t="s">
        <v>38</v>
      </c>
      <c r="G836">
        <v>422</v>
      </c>
      <c r="H836">
        <v>127</v>
      </c>
      <c r="I836">
        <v>95</v>
      </c>
      <c r="J836">
        <v>454</v>
      </c>
      <c r="K836" s="3">
        <v>57.74</v>
      </c>
      <c r="L836" s="3">
        <v>26213.96</v>
      </c>
      <c r="M836" t="s">
        <v>49</v>
      </c>
    </row>
    <row r="837" spans="1:13">
      <c r="A837" t="s">
        <v>906</v>
      </c>
      <c r="B837" s="2">
        <v>46064</v>
      </c>
      <c r="C837" t="s">
        <v>66</v>
      </c>
      <c r="D837" t="s">
        <v>67</v>
      </c>
      <c r="E837" t="s">
        <v>16</v>
      </c>
      <c r="F837" t="s">
        <v>68</v>
      </c>
      <c r="G837">
        <v>451</v>
      </c>
      <c r="H837">
        <v>37</v>
      </c>
      <c r="I837">
        <v>14</v>
      </c>
      <c r="J837">
        <v>474</v>
      </c>
      <c r="K837" s="3">
        <v>61.19</v>
      </c>
      <c r="L837" s="3">
        <v>29004.06</v>
      </c>
      <c r="M837" t="s">
        <v>18</v>
      </c>
    </row>
    <row r="838" spans="1:13">
      <c r="A838" t="s">
        <v>907</v>
      </c>
      <c r="B838" s="2">
        <v>46263</v>
      </c>
      <c r="C838" t="s">
        <v>31</v>
      </c>
      <c r="D838" t="s">
        <v>32</v>
      </c>
      <c r="E838" t="s">
        <v>28</v>
      </c>
      <c r="F838" t="s">
        <v>33</v>
      </c>
      <c r="G838">
        <v>112</v>
      </c>
      <c r="H838">
        <v>49</v>
      </c>
      <c r="I838">
        <v>64</v>
      </c>
      <c r="J838">
        <v>97</v>
      </c>
      <c r="K838" s="3">
        <v>83.2</v>
      </c>
      <c r="L838" s="3">
        <v>8070.4</v>
      </c>
      <c r="M838" t="s">
        <v>49</v>
      </c>
    </row>
    <row r="839" spans="1:13">
      <c r="A839" t="s">
        <v>908</v>
      </c>
      <c r="B839" s="2">
        <v>46150</v>
      </c>
      <c r="C839" t="s">
        <v>20</v>
      </c>
      <c r="D839" t="s">
        <v>21</v>
      </c>
      <c r="E839" t="s">
        <v>22</v>
      </c>
      <c r="F839" t="s">
        <v>23</v>
      </c>
      <c r="G839">
        <v>217</v>
      </c>
      <c r="H839">
        <v>113</v>
      </c>
      <c r="I839">
        <v>63</v>
      </c>
      <c r="J839">
        <v>267</v>
      </c>
      <c r="K839" s="3">
        <v>67.290000000000006</v>
      </c>
      <c r="L839" s="3">
        <v>17966.43</v>
      </c>
      <c r="M839" t="s">
        <v>49</v>
      </c>
    </row>
    <row r="840" spans="1:13">
      <c r="A840" t="s">
        <v>909</v>
      </c>
      <c r="B840" s="2">
        <v>46258</v>
      </c>
      <c r="C840" t="s">
        <v>99</v>
      </c>
      <c r="D840" t="s">
        <v>100</v>
      </c>
      <c r="E840" t="s">
        <v>43</v>
      </c>
      <c r="F840" t="s">
        <v>44</v>
      </c>
      <c r="G840">
        <v>396</v>
      </c>
      <c r="H840">
        <v>24</v>
      </c>
      <c r="I840">
        <v>133</v>
      </c>
      <c r="J840">
        <v>287</v>
      </c>
      <c r="K840" s="3">
        <v>256.77999999999997</v>
      </c>
      <c r="L840" s="3">
        <v>73695.86</v>
      </c>
      <c r="M840" t="s">
        <v>49</v>
      </c>
    </row>
    <row r="841" spans="1:13">
      <c r="A841" t="s">
        <v>910</v>
      </c>
      <c r="B841" s="2">
        <v>46222</v>
      </c>
      <c r="C841" t="s">
        <v>124</v>
      </c>
      <c r="D841" t="s">
        <v>125</v>
      </c>
      <c r="E841" t="s">
        <v>22</v>
      </c>
      <c r="F841" t="s">
        <v>23</v>
      </c>
      <c r="G841">
        <v>368</v>
      </c>
      <c r="H841">
        <v>79</v>
      </c>
      <c r="I841">
        <v>82</v>
      </c>
      <c r="J841">
        <v>365</v>
      </c>
      <c r="K841" s="3">
        <v>145.54</v>
      </c>
      <c r="L841" s="3">
        <v>53122.1</v>
      </c>
      <c r="M841" t="s">
        <v>24</v>
      </c>
    </row>
    <row r="842" spans="1:13">
      <c r="A842" t="s">
        <v>911</v>
      </c>
      <c r="B842" s="2">
        <v>46289</v>
      </c>
      <c r="C842" t="s">
        <v>86</v>
      </c>
      <c r="D842" t="s">
        <v>87</v>
      </c>
      <c r="E842" t="s">
        <v>43</v>
      </c>
      <c r="F842" t="s">
        <v>44</v>
      </c>
      <c r="G842">
        <v>82</v>
      </c>
      <c r="H842">
        <v>64</v>
      </c>
      <c r="I842">
        <v>123</v>
      </c>
      <c r="J842">
        <v>23</v>
      </c>
      <c r="K842" s="3">
        <v>10.15</v>
      </c>
      <c r="L842" s="3">
        <v>233.45</v>
      </c>
      <c r="M842" t="s">
        <v>49</v>
      </c>
    </row>
    <row r="843" spans="1:13">
      <c r="A843" t="s">
        <v>912</v>
      </c>
      <c r="B843" s="2">
        <v>46049</v>
      </c>
      <c r="C843" t="s">
        <v>41</v>
      </c>
      <c r="D843" t="s">
        <v>42</v>
      </c>
      <c r="E843" t="s">
        <v>43</v>
      </c>
      <c r="F843" t="s">
        <v>44</v>
      </c>
      <c r="G843">
        <v>462</v>
      </c>
      <c r="H843">
        <v>170</v>
      </c>
      <c r="I843">
        <v>55</v>
      </c>
      <c r="J843">
        <v>577</v>
      </c>
      <c r="K843" s="3">
        <v>153.81</v>
      </c>
      <c r="L843" s="3">
        <v>88748.37</v>
      </c>
      <c r="M843" t="s">
        <v>49</v>
      </c>
    </row>
    <row r="844" spans="1:13">
      <c r="A844" t="s">
        <v>913</v>
      </c>
      <c r="B844" s="2">
        <v>46189</v>
      </c>
      <c r="C844" t="s">
        <v>62</v>
      </c>
      <c r="D844" t="s">
        <v>63</v>
      </c>
      <c r="E844" t="s">
        <v>37</v>
      </c>
      <c r="F844" t="s">
        <v>38</v>
      </c>
      <c r="G844">
        <v>27</v>
      </c>
      <c r="H844">
        <v>42</v>
      </c>
      <c r="I844">
        <v>35</v>
      </c>
      <c r="J844">
        <v>34</v>
      </c>
      <c r="K844" s="3">
        <v>58.87</v>
      </c>
      <c r="L844" s="3">
        <v>2001.58</v>
      </c>
      <c r="M844" t="s">
        <v>18</v>
      </c>
    </row>
    <row r="845" spans="1:13">
      <c r="A845" t="s">
        <v>914</v>
      </c>
      <c r="B845" s="2">
        <v>46027</v>
      </c>
      <c r="C845" t="s">
        <v>51</v>
      </c>
      <c r="D845" t="s">
        <v>52</v>
      </c>
      <c r="E845" t="s">
        <v>28</v>
      </c>
      <c r="F845" t="s">
        <v>33</v>
      </c>
      <c r="G845">
        <v>41</v>
      </c>
      <c r="H845">
        <v>148</v>
      </c>
      <c r="I845">
        <v>176</v>
      </c>
      <c r="J845">
        <v>13</v>
      </c>
      <c r="K845" s="3">
        <v>26.97</v>
      </c>
      <c r="L845" s="3">
        <v>350.61</v>
      </c>
      <c r="M845" t="s">
        <v>24</v>
      </c>
    </row>
    <row r="846" spans="1:13">
      <c r="A846" t="s">
        <v>915</v>
      </c>
      <c r="B846" s="2">
        <v>46213</v>
      </c>
      <c r="C846" t="s">
        <v>77</v>
      </c>
      <c r="D846" t="s">
        <v>78</v>
      </c>
      <c r="E846" t="s">
        <v>16</v>
      </c>
      <c r="F846" t="s">
        <v>17</v>
      </c>
      <c r="G846">
        <v>414</v>
      </c>
      <c r="H846">
        <v>22</v>
      </c>
      <c r="I846">
        <v>63</v>
      </c>
      <c r="J846">
        <v>373</v>
      </c>
      <c r="K846" s="3">
        <v>195.67</v>
      </c>
      <c r="L846" s="3">
        <v>72984.91</v>
      </c>
      <c r="M846" t="s">
        <v>49</v>
      </c>
    </row>
    <row r="847" spans="1:13">
      <c r="A847" t="s">
        <v>916</v>
      </c>
      <c r="B847" s="2">
        <v>46196</v>
      </c>
      <c r="C847" t="s">
        <v>80</v>
      </c>
      <c r="D847" t="s">
        <v>81</v>
      </c>
      <c r="E847" t="s">
        <v>28</v>
      </c>
      <c r="F847" t="s">
        <v>33</v>
      </c>
      <c r="G847">
        <v>496</v>
      </c>
      <c r="H847">
        <v>160</v>
      </c>
      <c r="I847">
        <v>15</v>
      </c>
      <c r="J847">
        <v>641</v>
      </c>
      <c r="K847" s="3">
        <v>4.46</v>
      </c>
      <c r="L847" s="3">
        <v>2858.86</v>
      </c>
      <c r="M847" t="s">
        <v>24</v>
      </c>
    </row>
    <row r="848" spans="1:13">
      <c r="A848" t="s">
        <v>917</v>
      </c>
      <c r="B848" s="2">
        <v>46077</v>
      </c>
      <c r="C848" t="s">
        <v>77</v>
      </c>
      <c r="D848" t="s">
        <v>78</v>
      </c>
      <c r="E848" t="s">
        <v>16</v>
      </c>
      <c r="F848" t="s">
        <v>17</v>
      </c>
      <c r="G848">
        <v>84</v>
      </c>
      <c r="H848">
        <v>124</v>
      </c>
      <c r="I848">
        <v>59</v>
      </c>
      <c r="J848">
        <v>149</v>
      </c>
      <c r="K848" s="3">
        <v>200.93</v>
      </c>
      <c r="L848" s="3">
        <v>29938.57</v>
      </c>
      <c r="M848" t="s">
        <v>24</v>
      </c>
    </row>
    <row r="849" spans="1:13">
      <c r="A849" t="s">
        <v>918</v>
      </c>
      <c r="B849" s="2">
        <v>46247</v>
      </c>
      <c r="C849" t="s">
        <v>41</v>
      </c>
      <c r="D849" t="s">
        <v>42</v>
      </c>
      <c r="E849" t="s">
        <v>43</v>
      </c>
      <c r="F849" t="s">
        <v>44</v>
      </c>
      <c r="G849">
        <v>395</v>
      </c>
      <c r="H849">
        <v>49</v>
      </c>
      <c r="I849">
        <v>5</v>
      </c>
      <c r="J849">
        <v>439</v>
      </c>
      <c r="K849" s="3">
        <v>147.31</v>
      </c>
      <c r="L849" s="3">
        <v>64669.09</v>
      </c>
      <c r="M849" t="s">
        <v>18</v>
      </c>
    </row>
    <row r="850" spans="1:13">
      <c r="A850" t="s">
        <v>919</v>
      </c>
      <c r="B850" s="2">
        <v>46151</v>
      </c>
      <c r="C850" t="s">
        <v>77</v>
      </c>
      <c r="D850" t="s">
        <v>78</v>
      </c>
      <c r="E850" t="s">
        <v>16</v>
      </c>
      <c r="F850" t="s">
        <v>17</v>
      </c>
      <c r="G850">
        <v>480</v>
      </c>
      <c r="H850">
        <v>10</v>
      </c>
      <c r="I850">
        <v>124</v>
      </c>
      <c r="J850">
        <v>366</v>
      </c>
      <c r="K850" s="3">
        <v>213.85</v>
      </c>
      <c r="L850" s="3">
        <v>78269.100000000006</v>
      </c>
      <c r="M850" t="s">
        <v>24</v>
      </c>
    </row>
    <row r="851" spans="1:13">
      <c r="A851" t="s">
        <v>920</v>
      </c>
      <c r="B851" s="2">
        <v>46273</v>
      </c>
      <c r="C851" t="s">
        <v>71</v>
      </c>
      <c r="D851" t="s">
        <v>72</v>
      </c>
      <c r="E851" t="s">
        <v>22</v>
      </c>
      <c r="F851" t="s">
        <v>68</v>
      </c>
      <c r="G851">
        <v>117</v>
      </c>
      <c r="H851">
        <v>145</v>
      </c>
      <c r="I851">
        <v>47</v>
      </c>
      <c r="J851">
        <v>215</v>
      </c>
      <c r="K851" s="3">
        <v>11.33</v>
      </c>
      <c r="L851" s="3">
        <v>2435.9499999999998</v>
      </c>
      <c r="M851" t="s">
        <v>18</v>
      </c>
    </row>
    <row r="852" spans="1:13">
      <c r="A852" t="s">
        <v>921</v>
      </c>
      <c r="B852" s="2">
        <v>46163</v>
      </c>
      <c r="C852" t="s">
        <v>55</v>
      </c>
      <c r="D852" t="s">
        <v>56</v>
      </c>
      <c r="E852" t="s">
        <v>28</v>
      </c>
      <c r="F852" t="s">
        <v>29</v>
      </c>
      <c r="G852">
        <v>464</v>
      </c>
      <c r="H852">
        <v>153</v>
      </c>
      <c r="I852">
        <v>220</v>
      </c>
      <c r="J852">
        <v>397</v>
      </c>
      <c r="K852" s="3">
        <v>184.61</v>
      </c>
      <c r="L852" s="3">
        <v>73290.17</v>
      </c>
      <c r="M852" t="s">
        <v>49</v>
      </c>
    </row>
    <row r="853" spans="1:13">
      <c r="A853" t="s">
        <v>922</v>
      </c>
      <c r="B853" s="2">
        <v>46102</v>
      </c>
      <c r="C853" t="s">
        <v>59</v>
      </c>
      <c r="D853" t="s">
        <v>60</v>
      </c>
      <c r="E853" t="s">
        <v>16</v>
      </c>
      <c r="F853" t="s">
        <v>17</v>
      </c>
      <c r="G853">
        <v>250</v>
      </c>
      <c r="H853">
        <v>75</v>
      </c>
      <c r="I853">
        <v>209</v>
      </c>
      <c r="J853">
        <v>116</v>
      </c>
      <c r="K853" s="3">
        <v>61.64</v>
      </c>
      <c r="L853" s="3">
        <v>7150.24</v>
      </c>
      <c r="M853" t="s">
        <v>18</v>
      </c>
    </row>
    <row r="854" spans="1:13">
      <c r="A854" t="s">
        <v>923</v>
      </c>
      <c r="B854" s="2">
        <v>46023</v>
      </c>
      <c r="C854" t="s">
        <v>55</v>
      </c>
      <c r="D854" t="s">
        <v>56</v>
      </c>
      <c r="E854" t="s">
        <v>28</v>
      </c>
      <c r="F854" t="s">
        <v>29</v>
      </c>
      <c r="G854">
        <v>417</v>
      </c>
      <c r="H854">
        <v>163</v>
      </c>
      <c r="I854">
        <v>129</v>
      </c>
      <c r="J854">
        <v>451</v>
      </c>
      <c r="K854" s="3">
        <v>179.48</v>
      </c>
      <c r="L854" s="3">
        <v>80945.48</v>
      </c>
      <c r="M854" t="s">
        <v>49</v>
      </c>
    </row>
    <row r="855" spans="1:13">
      <c r="A855" t="s">
        <v>924</v>
      </c>
      <c r="B855" s="2">
        <v>46209</v>
      </c>
      <c r="C855" t="s">
        <v>116</v>
      </c>
      <c r="D855" t="s">
        <v>117</v>
      </c>
      <c r="E855" t="s">
        <v>22</v>
      </c>
      <c r="F855" t="s">
        <v>23</v>
      </c>
      <c r="G855">
        <v>417</v>
      </c>
      <c r="H855">
        <v>158</v>
      </c>
      <c r="I855">
        <v>61</v>
      </c>
      <c r="J855">
        <v>514</v>
      </c>
      <c r="K855" s="3">
        <v>174.95</v>
      </c>
      <c r="L855" s="3">
        <v>89924.3</v>
      </c>
      <c r="M855" t="s">
        <v>49</v>
      </c>
    </row>
    <row r="856" spans="1:13">
      <c r="A856" t="s">
        <v>925</v>
      </c>
      <c r="B856" s="2">
        <v>46221</v>
      </c>
      <c r="C856" t="s">
        <v>47</v>
      </c>
      <c r="D856" t="s">
        <v>48</v>
      </c>
      <c r="E856" t="s">
        <v>43</v>
      </c>
      <c r="F856" t="s">
        <v>44</v>
      </c>
      <c r="G856">
        <v>117</v>
      </c>
      <c r="H856">
        <v>134</v>
      </c>
      <c r="I856">
        <v>174</v>
      </c>
      <c r="J856">
        <v>77</v>
      </c>
      <c r="K856" s="3">
        <v>166.16</v>
      </c>
      <c r="L856" s="3">
        <v>12794.32</v>
      </c>
      <c r="M856" t="s">
        <v>24</v>
      </c>
    </row>
    <row r="857" spans="1:13">
      <c r="A857" t="s">
        <v>926</v>
      </c>
      <c r="B857" s="2">
        <v>46167</v>
      </c>
      <c r="C857" t="s">
        <v>77</v>
      </c>
      <c r="D857" t="s">
        <v>78</v>
      </c>
      <c r="E857" t="s">
        <v>16</v>
      </c>
      <c r="F857" t="s">
        <v>17</v>
      </c>
      <c r="G857">
        <v>185</v>
      </c>
      <c r="H857">
        <v>104</v>
      </c>
      <c r="I857">
        <v>164</v>
      </c>
      <c r="J857">
        <v>125</v>
      </c>
      <c r="K857" s="3">
        <v>201.11</v>
      </c>
      <c r="L857" s="3">
        <v>25138.75</v>
      </c>
      <c r="M857" t="s">
        <v>49</v>
      </c>
    </row>
    <row r="858" spans="1:13">
      <c r="A858" t="s">
        <v>927</v>
      </c>
      <c r="B858" s="2">
        <v>46057</v>
      </c>
      <c r="C858" t="s">
        <v>59</v>
      </c>
      <c r="D858" t="s">
        <v>60</v>
      </c>
      <c r="E858" t="s">
        <v>16</v>
      </c>
      <c r="F858" t="s">
        <v>17</v>
      </c>
      <c r="G858">
        <v>42</v>
      </c>
      <c r="H858">
        <v>33</v>
      </c>
      <c r="I858">
        <v>22</v>
      </c>
      <c r="J858">
        <v>53</v>
      </c>
      <c r="K858" s="3">
        <v>67.89</v>
      </c>
      <c r="L858" s="3">
        <v>3598.17</v>
      </c>
      <c r="M858" t="s">
        <v>49</v>
      </c>
    </row>
    <row r="859" spans="1:13">
      <c r="A859" t="s">
        <v>928</v>
      </c>
      <c r="B859" s="2">
        <v>46271</v>
      </c>
      <c r="C859" t="s">
        <v>20</v>
      </c>
      <c r="D859" t="s">
        <v>21</v>
      </c>
      <c r="E859" t="s">
        <v>22</v>
      </c>
      <c r="F859" t="s">
        <v>23</v>
      </c>
      <c r="G859">
        <v>118</v>
      </c>
      <c r="H859">
        <v>25</v>
      </c>
      <c r="I859">
        <v>8</v>
      </c>
      <c r="J859">
        <v>135</v>
      </c>
      <c r="K859" s="3">
        <v>65.569999999999993</v>
      </c>
      <c r="L859" s="3">
        <v>8851.9500000000007</v>
      </c>
      <c r="M859" t="s">
        <v>18</v>
      </c>
    </row>
    <row r="860" spans="1:13">
      <c r="A860" t="s">
        <v>929</v>
      </c>
      <c r="B860" s="2">
        <v>46292</v>
      </c>
      <c r="C860" t="s">
        <v>124</v>
      </c>
      <c r="D860" t="s">
        <v>125</v>
      </c>
      <c r="E860" t="s">
        <v>22</v>
      </c>
      <c r="F860" t="s">
        <v>23</v>
      </c>
      <c r="G860">
        <v>339</v>
      </c>
      <c r="H860">
        <v>179</v>
      </c>
      <c r="I860">
        <v>151</v>
      </c>
      <c r="J860">
        <v>367</v>
      </c>
      <c r="K860" s="3">
        <v>147.94</v>
      </c>
      <c r="L860" s="3">
        <v>54293.98</v>
      </c>
      <c r="M860" t="s">
        <v>18</v>
      </c>
    </row>
    <row r="861" spans="1:13">
      <c r="A861" t="s">
        <v>930</v>
      </c>
      <c r="B861" s="2">
        <v>46059</v>
      </c>
      <c r="C861" t="s">
        <v>51</v>
      </c>
      <c r="D861" t="s">
        <v>52</v>
      </c>
      <c r="E861" t="s">
        <v>28</v>
      </c>
      <c r="F861" t="s">
        <v>33</v>
      </c>
      <c r="G861">
        <v>26</v>
      </c>
      <c r="H861">
        <v>53</v>
      </c>
      <c r="I861">
        <v>62</v>
      </c>
      <c r="J861">
        <v>17</v>
      </c>
      <c r="K861" s="3">
        <v>28.94</v>
      </c>
      <c r="L861" s="3">
        <v>491.98</v>
      </c>
      <c r="M861" t="s">
        <v>49</v>
      </c>
    </row>
    <row r="862" spans="1:13">
      <c r="A862" t="s">
        <v>931</v>
      </c>
      <c r="B862" s="2">
        <v>46054</v>
      </c>
      <c r="C862" t="s">
        <v>55</v>
      </c>
      <c r="D862" t="s">
        <v>56</v>
      </c>
      <c r="E862" t="s">
        <v>28</v>
      </c>
      <c r="F862" t="s">
        <v>29</v>
      </c>
      <c r="G862">
        <v>204</v>
      </c>
      <c r="H862">
        <v>142</v>
      </c>
      <c r="I862">
        <v>190</v>
      </c>
      <c r="J862">
        <v>156</v>
      </c>
      <c r="K862" s="3">
        <v>195.85</v>
      </c>
      <c r="L862" s="3">
        <v>30552.6</v>
      </c>
      <c r="M862" t="s">
        <v>18</v>
      </c>
    </row>
    <row r="863" spans="1:13">
      <c r="A863" t="s">
        <v>932</v>
      </c>
      <c r="B863" s="2">
        <v>46052</v>
      </c>
      <c r="C863" t="s">
        <v>41</v>
      </c>
      <c r="D863" t="s">
        <v>42</v>
      </c>
      <c r="E863" t="s">
        <v>43</v>
      </c>
      <c r="F863" t="s">
        <v>44</v>
      </c>
      <c r="G863">
        <v>441</v>
      </c>
      <c r="H863">
        <v>157</v>
      </c>
      <c r="I863">
        <v>68</v>
      </c>
      <c r="J863">
        <v>530</v>
      </c>
      <c r="K863" s="3">
        <v>143.65</v>
      </c>
      <c r="L863" s="3">
        <v>76134.5</v>
      </c>
      <c r="M863" t="s">
        <v>24</v>
      </c>
    </row>
    <row r="864" spans="1:13">
      <c r="A864" t="s">
        <v>933</v>
      </c>
      <c r="B864" s="2">
        <v>46178</v>
      </c>
      <c r="C864" t="s">
        <v>31</v>
      </c>
      <c r="D864" t="s">
        <v>32</v>
      </c>
      <c r="E864" t="s">
        <v>28</v>
      </c>
      <c r="F864" t="s">
        <v>33</v>
      </c>
      <c r="G864">
        <v>59</v>
      </c>
      <c r="H864">
        <v>55</v>
      </c>
      <c r="I864">
        <v>66</v>
      </c>
      <c r="J864">
        <v>48</v>
      </c>
      <c r="K864" s="3">
        <v>74.08</v>
      </c>
      <c r="L864" s="3">
        <v>3555.84</v>
      </c>
      <c r="M864" t="s">
        <v>24</v>
      </c>
    </row>
    <row r="865" spans="1:13">
      <c r="A865" t="s">
        <v>934</v>
      </c>
      <c r="B865" s="2">
        <v>46295</v>
      </c>
      <c r="C865" t="s">
        <v>51</v>
      </c>
      <c r="D865" t="s">
        <v>52</v>
      </c>
      <c r="E865" t="s">
        <v>28</v>
      </c>
      <c r="F865" t="s">
        <v>33</v>
      </c>
      <c r="G865">
        <v>217</v>
      </c>
      <c r="H865">
        <v>48</v>
      </c>
      <c r="I865">
        <v>49</v>
      </c>
      <c r="J865">
        <v>216</v>
      </c>
      <c r="K865" s="3">
        <v>27.2</v>
      </c>
      <c r="L865" s="3">
        <v>5875.2</v>
      </c>
      <c r="M865" t="s">
        <v>49</v>
      </c>
    </row>
    <row r="866" spans="1:13">
      <c r="A866" t="s">
        <v>935</v>
      </c>
      <c r="B866" s="2">
        <v>46114</v>
      </c>
      <c r="C866" t="s">
        <v>35</v>
      </c>
      <c r="D866" t="s">
        <v>36</v>
      </c>
      <c r="E866" t="s">
        <v>37</v>
      </c>
      <c r="F866" t="s">
        <v>38</v>
      </c>
      <c r="G866">
        <v>305</v>
      </c>
      <c r="H866">
        <v>142</v>
      </c>
      <c r="I866">
        <v>106</v>
      </c>
      <c r="J866">
        <v>341</v>
      </c>
      <c r="K866" s="3">
        <v>236.16</v>
      </c>
      <c r="L866" s="3">
        <v>80530.559999999998</v>
      </c>
      <c r="M866" t="s">
        <v>24</v>
      </c>
    </row>
    <row r="867" spans="1:13">
      <c r="A867" t="s">
        <v>936</v>
      </c>
      <c r="B867" s="2">
        <v>46206</v>
      </c>
      <c r="C867" t="s">
        <v>35</v>
      </c>
      <c r="D867" t="s">
        <v>36</v>
      </c>
      <c r="E867" t="s">
        <v>37</v>
      </c>
      <c r="F867" t="s">
        <v>38</v>
      </c>
      <c r="G867">
        <v>365</v>
      </c>
      <c r="H867">
        <v>117</v>
      </c>
      <c r="I867">
        <v>179</v>
      </c>
      <c r="J867">
        <v>303</v>
      </c>
      <c r="K867" s="3">
        <v>233.22</v>
      </c>
      <c r="L867" s="3">
        <v>70665.66</v>
      </c>
      <c r="M867" t="s">
        <v>49</v>
      </c>
    </row>
    <row r="868" spans="1:13">
      <c r="A868" t="s">
        <v>937</v>
      </c>
      <c r="B868" s="2">
        <v>46115</v>
      </c>
      <c r="C868" t="s">
        <v>14</v>
      </c>
      <c r="D868" t="s">
        <v>15</v>
      </c>
      <c r="E868" t="s">
        <v>16</v>
      </c>
      <c r="F868" t="s">
        <v>17</v>
      </c>
      <c r="G868">
        <v>301</v>
      </c>
      <c r="H868">
        <v>102</v>
      </c>
      <c r="I868">
        <v>129</v>
      </c>
      <c r="J868">
        <v>274</v>
      </c>
      <c r="K868" s="3">
        <v>185.49</v>
      </c>
      <c r="L868" s="3">
        <v>50824.26</v>
      </c>
      <c r="M868" t="s">
        <v>49</v>
      </c>
    </row>
    <row r="869" spans="1:13">
      <c r="A869" t="s">
        <v>938</v>
      </c>
      <c r="B869" s="2">
        <v>46249</v>
      </c>
      <c r="C869" t="s">
        <v>47</v>
      </c>
      <c r="D869" t="s">
        <v>48</v>
      </c>
      <c r="E869" t="s">
        <v>43</v>
      </c>
      <c r="F869" t="s">
        <v>44</v>
      </c>
      <c r="G869">
        <v>497</v>
      </c>
      <c r="H869">
        <v>90</v>
      </c>
      <c r="I869">
        <v>80</v>
      </c>
      <c r="J869">
        <v>507</v>
      </c>
      <c r="K869" s="3">
        <v>167.56</v>
      </c>
      <c r="L869" s="3">
        <v>84952.92</v>
      </c>
      <c r="M869" t="s">
        <v>18</v>
      </c>
    </row>
    <row r="870" spans="1:13">
      <c r="A870" t="s">
        <v>939</v>
      </c>
      <c r="B870" s="2">
        <v>46234</v>
      </c>
      <c r="C870" t="s">
        <v>41</v>
      </c>
      <c r="D870" t="s">
        <v>42</v>
      </c>
      <c r="E870" t="s">
        <v>43</v>
      </c>
      <c r="F870" t="s">
        <v>44</v>
      </c>
      <c r="G870">
        <v>411</v>
      </c>
      <c r="H870">
        <v>162</v>
      </c>
      <c r="I870">
        <v>110</v>
      </c>
      <c r="J870">
        <v>463</v>
      </c>
      <c r="K870" s="3">
        <v>150.44</v>
      </c>
      <c r="L870" s="3">
        <v>69653.72</v>
      </c>
      <c r="M870" t="s">
        <v>18</v>
      </c>
    </row>
    <row r="871" spans="1:13">
      <c r="A871" t="s">
        <v>940</v>
      </c>
      <c r="B871" s="2">
        <v>46146</v>
      </c>
      <c r="C871" t="s">
        <v>80</v>
      </c>
      <c r="D871" t="s">
        <v>81</v>
      </c>
      <c r="E871" t="s">
        <v>28</v>
      </c>
      <c r="F871" t="s">
        <v>33</v>
      </c>
      <c r="G871">
        <v>308</v>
      </c>
      <c r="H871">
        <v>139</v>
      </c>
      <c r="I871">
        <v>54</v>
      </c>
      <c r="J871">
        <v>393</v>
      </c>
      <c r="K871" s="3">
        <v>4.7</v>
      </c>
      <c r="L871" s="3">
        <v>1847.1</v>
      </c>
      <c r="M871" t="s">
        <v>24</v>
      </c>
    </row>
    <row r="872" spans="1:13">
      <c r="A872" t="s">
        <v>941</v>
      </c>
      <c r="B872" s="2">
        <v>46207</v>
      </c>
      <c r="C872" t="s">
        <v>26</v>
      </c>
      <c r="D872" t="s">
        <v>27</v>
      </c>
      <c r="E872" t="s">
        <v>28</v>
      </c>
      <c r="F872" t="s">
        <v>29</v>
      </c>
      <c r="G872">
        <v>251</v>
      </c>
      <c r="H872">
        <v>114</v>
      </c>
      <c r="I872">
        <v>101</v>
      </c>
      <c r="J872">
        <v>264</v>
      </c>
      <c r="K872" s="3">
        <v>110.29</v>
      </c>
      <c r="L872" s="3">
        <v>29116.560000000001</v>
      </c>
      <c r="M872" t="s">
        <v>49</v>
      </c>
    </row>
    <row r="873" spans="1:13">
      <c r="A873" t="s">
        <v>942</v>
      </c>
      <c r="B873" s="2">
        <v>46031</v>
      </c>
      <c r="C873" t="s">
        <v>71</v>
      </c>
      <c r="D873" t="s">
        <v>72</v>
      </c>
      <c r="E873" t="s">
        <v>22</v>
      </c>
      <c r="F873" t="s">
        <v>68</v>
      </c>
      <c r="G873">
        <v>285</v>
      </c>
      <c r="H873">
        <v>34</v>
      </c>
      <c r="I873">
        <v>77</v>
      </c>
      <c r="J873">
        <v>242</v>
      </c>
      <c r="K873" s="3">
        <v>10.37</v>
      </c>
      <c r="L873" s="3">
        <v>2509.54</v>
      </c>
      <c r="M873" t="s">
        <v>49</v>
      </c>
    </row>
    <row r="874" spans="1:13">
      <c r="A874" t="s">
        <v>943</v>
      </c>
      <c r="B874" s="2">
        <v>46184</v>
      </c>
      <c r="C874" t="s">
        <v>99</v>
      </c>
      <c r="D874" t="s">
        <v>100</v>
      </c>
      <c r="E874" t="s">
        <v>43</v>
      </c>
      <c r="F874" t="s">
        <v>44</v>
      </c>
      <c r="G874">
        <v>31</v>
      </c>
      <c r="H874">
        <v>176</v>
      </c>
      <c r="I874">
        <v>70</v>
      </c>
      <c r="J874">
        <v>137</v>
      </c>
      <c r="K874" s="3">
        <v>266.91000000000003</v>
      </c>
      <c r="L874" s="3">
        <v>36566.67</v>
      </c>
      <c r="M874" t="s">
        <v>24</v>
      </c>
    </row>
    <row r="875" spans="1:13">
      <c r="A875" t="s">
        <v>944</v>
      </c>
      <c r="B875" s="2">
        <v>46102</v>
      </c>
      <c r="C875" t="s">
        <v>47</v>
      </c>
      <c r="D875" t="s">
        <v>48</v>
      </c>
      <c r="E875" t="s">
        <v>43</v>
      </c>
      <c r="F875" t="s">
        <v>44</v>
      </c>
      <c r="G875">
        <v>68</v>
      </c>
      <c r="H875">
        <v>9</v>
      </c>
      <c r="I875">
        <v>58</v>
      </c>
      <c r="J875">
        <v>19</v>
      </c>
      <c r="K875" s="3">
        <v>162.38999999999999</v>
      </c>
      <c r="L875" s="3">
        <v>3085.41</v>
      </c>
      <c r="M875" t="s">
        <v>49</v>
      </c>
    </row>
    <row r="876" spans="1:13">
      <c r="A876" t="s">
        <v>945</v>
      </c>
      <c r="B876" s="2">
        <v>46210</v>
      </c>
      <c r="C876" t="s">
        <v>26</v>
      </c>
      <c r="D876" t="s">
        <v>27</v>
      </c>
      <c r="E876" t="s">
        <v>28</v>
      </c>
      <c r="F876" t="s">
        <v>29</v>
      </c>
      <c r="G876">
        <v>475</v>
      </c>
      <c r="H876">
        <v>149</v>
      </c>
      <c r="I876">
        <v>63</v>
      </c>
      <c r="J876">
        <v>561</v>
      </c>
      <c r="K876" s="3">
        <v>114.75</v>
      </c>
      <c r="L876" s="3">
        <v>64374.75</v>
      </c>
      <c r="M876" t="s">
        <v>18</v>
      </c>
    </row>
    <row r="877" spans="1:13">
      <c r="A877" t="s">
        <v>946</v>
      </c>
      <c r="B877" s="2">
        <v>46227</v>
      </c>
      <c r="C877" t="s">
        <v>31</v>
      </c>
      <c r="D877" t="s">
        <v>32</v>
      </c>
      <c r="E877" t="s">
        <v>28</v>
      </c>
      <c r="F877" t="s">
        <v>33</v>
      </c>
      <c r="G877">
        <v>311</v>
      </c>
      <c r="H877">
        <v>55</v>
      </c>
      <c r="I877">
        <v>187</v>
      </c>
      <c r="J877">
        <v>179</v>
      </c>
      <c r="K877" s="3">
        <v>73.83</v>
      </c>
      <c r="L877" s="3">
        <v>13215.57</v>
      </c>
      <c r="M877" t="s">
        <v>18</v>
      </c>
    </row>
    <row r="878" spans="1:13">
      <c r="A878" t="s">
        <v>947</v>
      </c>
      <c r="B878" s="2">
        <v>46111</v>
      </c>
      <c r="C878" t="s">
        <v>124</v>
      </c>
      <c r="D878" t="s">
        <v>125</v>
      </c>
      <c r="E878" t="s">
        <v>22</v>
      </c>
      <c r="F878" t="s">
        <v>23</v>
      </c>
      <c r="G878">
        <v>269</v>
      </c>
      <c r="H878">
        <v>176</v>
      </c>
      <c r="I878">
        <v>179</v>
      </c>
      <c r="J878">
        <v>266</v>
      </c>
      <c r="K878" s="3">
        <v>155.83000000000001</v>
      </c>
      <c r="L878" s="3">
        <v>41450.78</v>
      </c>
      <c r="M878" t="s">
        <v>49</v>
      </c>
    </row>
    <row r="879" spans="1:13">
      <c r="A879" t="s">
        <v>948</v>
      </c>
      <c r="B879" s="2">
        <v>46176</v>
      </c>
      <c r="C879" t="s">
        <v>80</v>
      </c>
      <c r="D879" t="s">
        <v>81</v>
      </c>
      <c r="E879" t="s">
        <v>28</v>
      </c>
      <c r="F879" t="s">
        <v>33</v>
      </c>
      <c r="G879">
        <v>39</v>
      </c>
      <c r="H879">
        <v>147</v>
      </c>
      <c r="I879">
        <v>97</v>
      </c>
      <c r="J879">
        <v>89</v>
      </c>
      <c r="K879" s="3">
        <v>4.4800000000000004</v>
      </c>
      <c r="L879" s="3">
        <v>398.72</v>
      </c>
      <c r="M879" t="s">
        <v>49</v>
      </c>
    </row>
    <row r="880" spans="1:13">
      <c r="A880" t="s">
        <v>949</v>
      </c>
      <c r="B880" s="2">
        <v>46201</v>
      </c>
      <c r="C880" t="s">
        <v>66</v>
      </c>
      <c r="D880" t="s">
        <v>67</v>
      </c>
      <c r="E880" t="s">
        <v>16</v>
      </c>
      <c r="F880" t="s">
        <v>68</v>
      </c>
      <c r="G880">
        <v>470</v>
      </c>
      <c r="H880">
        <v>111</v>
      </c>
      <c r="I880">
        <v>106</v>
      </c>
      <c r="J880">
        <v>475</v>
      </c>
      <c r="K880" s="3">
        <v>67.94</v>
      </c>
      <c r="L880" s="3">
        <v>32271.5</v>
      </c>
      <c r="M880" t="s">
        <v>49</v>
      </c>
    </row>
    <row r="881" spans="1:13">
      <c r="A881" t="s">
        <v>950</v>
      </c>
      <c r="B881" s="2">
        <v>46028</v>
      </c>
      <c r="C881" t="s">
        <v>51</v>
      </c>
      <c r="D881" t="s">
        <v>52</v>
      </c>
      <c r="E881" t="s">
        <v>28</v>
      </c>
      <c r="F881" t="s">
        <v>33</v>
      </c>
      <c r="G881">
        <v>344</v>
      </c>
      <c r="H881">
        <v>161</v>
      </c>
      <c r="I881">
        <v>97</v>
      </c>
      <c r="J881">
        <v>408</v>
      </c>
      <c r="K881" s="3">
        <v>25.15</v>
      </c>
      <c r="L881" s="3">
        <v>10261.200000000001</v>
      </c>
      <c r="M881" t="s">
        <v>24</v>
      </c>
    </row>
    <row r="882" spans="1:13">
      <c r="A882" t="s">
        <v>951</v>
      </c>
      <c r="B882" s="2">
        <v>46186</v>
      </c>
      <c r="C882" t="s">
        <v>86</v>
      </c>
      <c r="D882" t="s">
        <v>87</v>
      </c>
      <c r="E882" t="s">
        <v>43</v>
      </c>
      <c r="F882" t="s">
        <v>44</v>
      </c>
      <c r="G882">
        <v>296</v>
      </c>
      <c r="H882">
        <v>144</v>
      </c>
      <c r="I882">
        <v>38</v>
      </c>
      <c r="J882">
        <v>402</v>
      </c>
      <c r="K882" s="3">
        <v>9.65</v>
      </c>
      <c r="L882" s="3">
        <v>3879.3</v>
      </c>
      <c r="M882" t="s">
        <v>24</v>
      </c>
    </row>
    <row r="883" spans="1:13">
      <c r="A883" t="s">
        <v>952</v>
      </c>
      <c r="B883" s="2">
        <v>46101</v>
      </c>
      <c r="C883" t="s">
        <v>51</v>
      </c>
      <c r="D883" t="s">
        <v>52</v>
      </c>
      <c r="E883" t="s">
        <v>28</v>
      </c>
      <c r="F883" t="s">
        <v>33</v>
      </c>
      <c r="G883">
        <v>45</v>
      </c>
      <c r="H883">
        <v>172</v>
      </c>
      <c r="I883">
        <v>187</v>
      </c>
      <c r="J883">
        <v>30</v>
      </c>
      <c r="K883" s="3">
        <v>29.24</v>
      </c>
      <c r="L883" s="3">
        <v>877.2</v>
      </c>
      <c r="M883" t="s">
        <v>18</v>
      </c>
    </row>
    <row r="884" spans="1:13">
      <c r="A884" t="s">
        <v>953</v>
      </c>
      <c r="B884" s="2">
        <v>46281</v>
      </c>
      <c r="C884" t="s">
        <v>80</v>
      </c>
      <c r="D884" t="s">
        <v>81</v>
      </c>
      <c r="E884" t="s">
        <v>28</v>
      </c>
      <c r="F884" t="s">
        <v>33</v>
      </c>
      <c r="G884">
        <v>66</v>
      </c>
      <c r="H884">
        <v>56</v>
      </c>
      <c r="I884">
        <v>55</v>
      </c>
      <c r="J884">
        <v>67</v>
      </c>
      <c r="K884" s="3">
        <v>4.6399999999999997</v>
      </c>
      <c r="L884" s="3">
        <v>310.88</v>
      </c>
      <c r="M884" t="s">
        <v>18</v>
      </c>
    </row>
    <row r="885" spans="1:13">
      <c r="A885" t="s">
        <v>954</v>
      </c>
      <c r="B885" s="2">
        <v>46090</v>
      </c>
      <c r="C885" t="s">
        <v>77</v>
      </c>
      <c r="D885" t="s">
        <v>78</v>
      </c>
      <c r="E885" t="s">
        <v>16</v>
      </c>
      <c r="F885" t="s">
        <v>17</v>
      </c>
      <c r="G885">
        <v>192</v>
      </c>
      <c r="H885">
        <v>21</v>
      </c>
      <c r="I885">
        <v>121</v>
      </c>
      <c r="J885">
        <v>92</v>
      </c>
      <c r="K885" s="3">
        <v>209.37</v>
      </c>
      <c r="L885" s="3">
        <v>19262.04</v>
      </c>
      <c r="M885" t="s">
        <v>49</v>
      </c>
    </row>
    <row r="886" spans="1:13">
      <c r="A886" t="s">
        <v>955</v>
      </c>
      <c r="B886" s="2">
        <v>46227</v>
      </c>
      <c r="C886" t="s">
        <v>47</v>
      </c>
      <c r="D886" t="s">
        <v>48</v>
      </c>
      <c r="E886" t="s">
        <v>43</v>
      </c>
      <c r="F886" t="s">
        <v>44</v>
      </c>
      <c r="G886">
        <v>154</v>
      </c>
      <c r="H886">
        <v>21</v>
      </c>
      <c r="I886">
        <v>102</v>
      </c>
      <c r="J886">
        <v>73</v>
      </c>
      <c r="K886" s="3">
        <v>166.28</v>
      </c>
      <c r="L886" s="3">
        <v>12138.44</v>
      </c>
      <c r="M886" t="s">
        <v>24</v>
      </c>
    </row>
    <row r="887" spans="1:13">
      <c r="A887" t="s">
        <v>956</v>
      </c>
      <c r="B887" s="2">
        <v>46092</v>
      </c>
      <c r="C887" t="s">
        <v>77</v>
      </c>
      <c r="D887" t="s">
        <v>78</v>
      </c>
      <c r="E887" t="s">
        <v>16</v>
      </c>
      <c r="F887" t="s">
        <v>17</v>
      </c>
      <c r="G887">
        <v>266</v>
      </c>
      <c r="H887">
        <v>143</v>
      </c>
      <c r="I887">
        <v>50</v>
      </c>
      <c r="J887">
        <v>359</v>
      </c>
      <c r="K887" s="3">
        <v>206.6</v>
      </c>
      <c r="L887" s="3">
        <v>74169.399999999994</v>
      </c>
      <c r="M887" t="s">
        <v>24</v>
      </c>
    </row>
    <row r="888" spans="1:13">
      <c r="A888" t="s">
        <v>957</v>
      </c>
      <c r="B888" s="2">
        <v>46123</v>
      </c>
      <c r="C888" t="s">
        <v>35</v>
      </c>
      <c r="D888" t="s">
        <v>36</v>
      </c>
      <c r="E888" t="s">
        <v>37</v>
      </c>
      <c r="F888" t="s">
        <v>38</v>
      </c>
      <c r="G888">
        <v>307</v>
      </c>
      <c r="H888">
        <v>157</v>
      </c>
      <c r="I888">
        <v>188</v>
      </c>
      <c r="J888">
        <v>276</v>
      </c>
      <c r="K888" s="3">
        <v>228.09</v>
      </c>
      <c r="L888" s="3">
        <v>62952.84</v>
      </c>
      <c r="M888" t="s">
        <v>49</v>
      </c>
    </row>
    <row r="889" spans="1:13">
      <c r="A889" t="s">
        <v>958</v>
      </c>
      <c r="B889" s="2">
        <v>46159</v>
      </c>
      <c r="C889" t="s">
        <v>31</v>
      </c>
      <c r="D889" t="s">
        <v>32</v>
      </c>
      <c r="E889" t="s">
        <v>28</v>
      </c>
      <c r="F889" t="s">
        <v>33</v>
      </c>
      <c r="G889">
        <v>417</v>
      </c>
      <c r="H889">
        <v>110</v>
      </c>
      <c r="I889">
        <v>82</v>
      </c>
      <c r="J889">
        <v>445</v>
      </c>
      <c r="K889" s="3">
        <v>81.52</v>
      </c>
      <c r="L889" s="3">
        <v>36276.400000000001</v>
      </c>
      <c r="M889" t="s">
        <v>24</v>
      </c>
    </row>
    <row r="890" spans="1:13">
      <c r="A890" t="s">
        <v>959</v>
      </c>
      <c r="B890" s="2">
        <v>46080</v>
      </c>
      <c r="C890" t="s">
        <v>31</v>
      </c>
      <c r="D890" t="s">
        <v>32</v>
      </c>
      <c r="E890" t="s">
        <v>28</v>
      </c>
      <c r="F890" t="s">
        <v>33</v>
      </c>
      <c r="G890">
        <v>363</v>
      </c>
      <c r="H890">
        <v>105</v>
      </c>
      <c r="I890">
        <v>108</v>
      </c>
      <c r="J890">
        <v>360</v>
      </c>
      <c r="K890" s="3">
        <v>77.48</v>
      </c>
      <c r="L890" s="3">
        <v>27892.799999999999</v>
      </c>
      <c r="M890" t="s">
        <v>49</v>
      </c>
    </row>
    <row r="891" spans="1:13">
      <c r="A891" t="s">
        <v>960</v>
      </c>
      <c r="B891" s="2">
        <v>46199</v>
      </c>
      <c r="C891" t="s">
        <v>66</v>
      </c>
      <c r="D891" t="s">
        <v>67</v>
      </c>
      <c r="E891" t="s">
        <v>16</v>
      </c>
      <c r="F891" t="s">
        <v>68</v>
      </c>
      <c r="G891">
        <v>324</v>
      </c>
      <c r="H891">
        <v>167</v>
      </c>
      <c r="I891">
        <v>6</v>
      </c>
      <c r="J891">
        <v>485</v>
      </c>
      <c r="K891" s="3">
        <v>66.31</v>
      </c>
      <c r="L891" s="3">
        <v>32160.35</v>
      </c>
      <c r="M891" t="s">
        <v>49</v>
      </c>
    </row>
    <row r="892" spans="1:13">
      <c r="A892" t="s">
        <v>961</v>
      </c>
      <c r="B892" s="2">
        <v>46249</v>
      </c>
      <c r="C892" t="s">
        <v>41</v>
      </c>
      <c r="D892" t="s">
        <v>42</v>
      </c>
      <c r="E892" t="s">
        <v>43</v>
      </c>
      <c r="F892" t="s">
        <v>44</v>
      </c>
      <c r="G892">
        <v>339</v>
      </c>
      <c r="H892">
        <v>37</v>
      </c>
      <c r="I892">
        <v>112</v>
      </c>
      <c r="J892">
        <v>264</v>
      </c>
      <c r="K892" s="3">
        <v>132.57</v>
      </c>
      <c r="L892" s="3">
        <v>34998.480000000003</v>
      </c>
      <c r="M892" t="s">
        <v>49</v>
      </c>
    </row>
    <row r="893" spans="1:13">
      <c r="A893" t="s">
        <v>962</v>
      </c>
      <c r="B893" s="2">
        <v>46214</v>
      </c>
      <c r="C893" t="s">
        <v>99</v>
      </c>
      <c r="D893" t="s">
        <v>100</v>
      </c>
      <c r="E893" t="s">
        <v>43</v>
      </c>
      <c r="F893" t="s">
        <v>44</v>
      </c>
      <c r="G893">
        <v>99</v>
      </c>
      <c r="H893">
        <v>21</v>
      </c>
      <c r="I893">
        <v>14</v>
      </c>
      <c r="J893">
        <v>106</v>
      </c>
      <c r="K893" s="3">
        <v>259.72000000000003</v>
      </c>
      <c r="L893" s="3">
        <v>27530.32</v>
      </c>
      <c r="M893" t="s">
        <v>49</v>
      </c>
    </row>
    <row r="894" spans="1:13">
      <c r="A894" t="s">
        <v>963</v>
      </c>
      <c r="B894" s="2">
        <v>46098</v>
      </c>
      <c r="C894" t="s">
        <v>80</v>
      </c>
      <c r="D894" t="s">
        <v>81</v>
      </c>
      <c r="E894" t="s">
        <v>28</v>
      </c>
      <c r="F894" t="s">
        <v>33</v>
      </c>
      <c r="G894">
        <v>464</v>
      </c>
      <c r="H894">
        <v>73</v>
      </c>
      <c r="I894">
        <v>3</v>
      </c>
      <c r="J894">
        <v>534</v>
      </c>
      <c r="K894" s="3">
        <v>4.68</v>
      </c>
      <c r="L894" s="3">
        <v>2499.12</v>
      </c>
      <c r="M894" t="s">
        <v>49</v>
      </c>
    </row>
    <row r="895" spans="1:13">
      <c r="A895" t="s">
        <v>964</v>
      </c>
      <c r="B895" s="2">
        <v>46253</v>
      </c>
      <c r="C895" t="s">
        <v>71</v>
      </c>
      <c r="D895" t="s">
        <v>72</v>
      </c>
      <c r="E895" t="s">
        <v>22</v>
      </c>
      <c r="F895" t="s">
        <v>68</v>
      </c>
      <c r="G895">
        <v>261</v>
      </c>
      <c r="H895">
        <v>5</v>
      </c>
      <c r="I895">
        <v>84</v>
      </c>
      <c r="J895">
        <v>182</v>
      </c>
      <c r="K895" s="3">
        <v>10.73</v>
      </c>
      <c r="L895" s="3">
        <v>1952.86</v>
      </c>
      <c r="M895" t="s">
        <v>24</v>
      </c>
    </row>
    <row r="896" spans="1:13">
      <c r="A896" t="s">
        <v>965</v>
      </c>
      <c r="B896" s="2">
        <v>46127</v>
      </c>
      <c r="C896" t="s">
        <v>99</v>
      </c>
      <c r="D896" t="s">
        <v>100</v>
      </c>
      <c r="E896" t="s">
        <v>43</v>
      </c>
      <c r="F896" t="s">
        <v>44</v>
      </c>
      <c r="G896">
        <v>299</v>
      </c>
      <c r="H896">
        <v>133</v>
      </c>
      <c r="I896">
        <v>192</v>
      </c>
      <c r="J896">
        <v>240</v>
      </c>
      <c r="K896" s="3">
        <v>240.47</v>
      </c>
      <c r="L896" s="3">
        <v>57712.800000000003</v>
      </c>
      <c r="M896" t="s">
        <v>18</v>
      </c>
    </row>
    <row r="897" spans="1:13">
      <c r="A897" t="s">
        <v>966</v>
      </c>
      <c r="B897" s="2">
        <v>46095</v>
      </c>
      <c r="C897" t="s">
        <v>80</v>
      </c>
      <c r="D897" t="s">
        <v>81</v>
      </c>
      <c r="E897" t="s">
        <v>28</v>
      </c>
      <c r="F897" t="s">
        <v>33</v>
      </c>
      <c r="G897">
        <v>375</v>
      </c>
      <c r="H897">
        <v>178</v>
      </c>
      <c r="I897">
        <v>171</v>
      </c>
      <c r="J897">
        <v>382</v>
      </c>
      <c r="K897" s="3">
        <v>4.43</v>
      </c>
      <c r="L897" s="3">
        <v>1692.26</v>
      </c>
      <c r="M897" t="s">
        <v>24</v>
      </c>
    </row>
    <row r="898" spans="1:13">
      <c r="A898" t="s">
        <v>967</v>
      </c>
      <c r="B898" s="2">
        <v>46045</v>
      </c>
      <c r="C898" t="s">
        <v>59</v>
      </c>
      <c r="D898" t="s">
        <v>60</v>
      </c>
      <c r="E898" t="s">
        <v>16</v>
      </c>
      <c r="F898" t="s">
        <v>17</v>
      </c>
      <c r="G898">
        <v>150</v>
      </c>
      <c r="H898">
        <v>43</v>
      </c>
      <c r="I898">
        <v>15</v>
      </c>
      <c r="J898">
        <v>178</v>
      </c>
      <c r="K898" s="3">
        <v>61.85</v>
      </c>
      <c r="L898" s="3">
        <v>11009.3</v>
      </c>
      <c r="M898" t="s">
        <v>24</v>
      </c>
    </row>
    <row r="899" spans="1:13">
      <c r="A899" t="s">
        <v>968</v>
      </c>
      <c r="B899" s="2">
        <v>46161</v>
      </c>
      <c r="C899" t="s">
        <v>80</v>
      </c>
      <c r="D899" t="s">
        <v>81</v>
      </c>
      <c r="E899" t="s">
        <v>28</v>
      </c>
      <c r="F899" t="s">
        <v>33</v>
      </c>
      <c r="G899">
        <v>47</v>
      </c>
      <c r="H899">
        <v>119</v>
      </c>
      <c r="I899">
        <v>2</v>
      </c>
      <c r="J899">
        <v>164</v>
      </c>
      <c r="K899" s="3">
        <v>4.47</v>
      </c>
      <c r="L899" s="3">
        <v>733.08</v>
      </c>
      <c r="M899" t="s">
        <v>24</v>
      </c>
    </row>
    <row r="900" spans="1:13">
      <c r="A900" t="s">
        <v>969</v>
      </c>
      <c r="B900" s="2">
        <v>46207</v>
      </c>
      <c r="C900" t="s">
        <v>26</v>
      </c>
      <c r="D900" t="s">
        <v>27</v>
      </c>
      <c r="E900" t="s">
        <v>28</v>
      </c>
      <c r="F900" t="s">
        <v>29</v>
      </c>
      <c r="G900">
        <v>462</v>
      </c>
      <c r="H900">
        <v>27</v>
      </c>
      <c r="I900">
        <v>4</v>
      </c>
      <c r="J900">
        <v>485</v>
      </c>
      <c r="K900" s="3">
        <v>115.89</v>
      </c>
      <c r="L900" s="3">
        <v>56206.65</v>
      </c>
      <c r="M900" t="s">
        <v>24</v>
      </c>
    </row>
    <row r="901" spans="1:13">
      <c r="A901" t="s">
        <v>970</v>
      </c>
      <c r="B901" s="2">
        <v>46295</v>
      </c>
      <c r="C901" t="s">
        <v>124</v>
      </c>
      <c r="D901" t="s">
        <v>125</v>
      </c>
      <c r="E901" t="s">
        <v>22</v>
      </c>
      <c r="F901" t="s">
        <v>23</v>
      </c>
      <c r="G901">
        <v>65</v>
      </c>
      <c r="H901">
        <v>47</v>
      </c>
      <c r="I901">
        <v>25</v>
      </c>
      <c r="J901">
        <v>87</v>
      </c>
      <c r="K901" s="3">
        <v>153.96</v>
      </c>
      <c r="L901" s="3">
        <v>13394.52</v>
      </c>
      <c r="M901" t="s">
        <v>18</v>
      </c>
    </row>
    <row r="902" spans="1:13">
      <c r="A902" t="s">
        <v>971</v>
      </c>
      <c r="B902" s="2">
        <v>46034</v>
      </c>
      <c r="C902" t="s">
        <v>47</v>
      </c>
      <c r="D902" t="s">
        <v>48</v>
      </c>
      <c r="E902" t="s">
        <v>43</v>
      </c>
      <c r="F902" t="s">
        <v>44</v>
      </c>
      <c r="G902">
        <v>40</v>
      </c>
      <c r="H902">
        <v>63</v>
      </c>
      <c r="I902">
        <v>67</v>
      </c>
      <c r="J902">
        <v>36</v>
      </c>
      <c r="K902" s="3">
        <v>161.04</v>
      </c>
      <c r="L902" s="3">
        <v>5797.44</v>
      </c>
      <c r="M902" t="s">
        <v>18</v>
      </c>
    </row>
    <row r="903" spans="1:13">
      <c r="A903" t="s">
        <v>972</v>
      </c>
      <c r="B903" s="2">
        <v>46103</v>
      </c>
      <c r="C903" t="s">
        <v>136</v>
      </c>
      <c r="D903" t="s">
        <v>137</v>
      </c>
      <c r="E903" t="s">
        <v>37</v>
      </c>
      <c r="F903" t="s">
        <v>38</v>
      </c>
      <c r="G903">
        <v>29</v>
      </c>
      <c r="H903">
        <v>88</v>
      </c>
      <c r="I903">
        <v>87</v>
      </c>
      <c r="J903">
        <v>30</v>
      </c>
      <c r="K903" s="3">
        <v>10.11</v>
      </c>
      <c r="L903" s="3">
        <v>303.3</v>
      </c>
      <c r="M903" t="s">
        <v>24</v>
      </c>
    </row>
    <row r="904" spans="1:13">
      <c r="A904" t="s">
        <v>973</v>
      </c>
      <c r="B904" s="2">
        <v>46143</v>
      </c>
      <c r="C904" t="s">
        <v>71</v>
      </c>
      <c r="D904" t="s">
        <v>72</v>
      </c>
      <c r="E904" t="s">
        <v>22</v>
      </c>
      <c r="F904" t="s">
        <v>68</v>
      </c>
      <c r="G904">
        <v>276</v>
      </c>
      <c r="H904">
        <v>70</v>
      </c>
      <c r="I904">
        <v>207</v>
      </c>
      <c r="J904">
        <v>139</v>
      </c>
      <c r="K904" s="3">
        <v>10.47</v>
      </c>
      <c r="L904" s="3">
        <v>1455.33</v>
      </c>
      <c r="M904" t="s">
        <v>18</v>
      </c>
    </row>
    <row r="905" spans="1:13">
      <c r="A905" t="s">
        <v>974</v>
      </c>
      <c r="B905" s="2">
        <v>46038</v>
      </c>
      <c r="C905" t="s">
        <v>136</v>
      </c>
      <c r="D905" t="s">
        <v>137</v>
      </c>
      <c r="E905" t="s">
        <v>37</v>
      </c>
      <c r="F905" t="s">
        <v>38</v>
      </c>
      <c r="G905">
        <v>304</v>
      </c>
      <c r="H905">
        <v>71</v>
      </c>
      <c r="I905">
        <v>57</v>
      </c>
      <c r="J905">
        <v>318</v>
      </c>
      <c r="K905" s="3">
        <v>9.77</v>
      </c>
      <c r="L905" s="3">
        <v>3106.86</v>
      </c>
      <c r="M905" t="s">
        <v>18</v>
      </c>
    </row>
    <row r="906" spans="1:13">
      <c r="A906" t="s">
        <v>975</v>
      </c>
      <c r="B906" s="2">
        <v>46067</v>
      </c>
      <c r="C906" t="s">
        <v>77</v>
      </c>
      <c r="D906" t="s">
        <v>78</v>
      </c>
      <c r="E906" t="s">
        <v>16</v>
      </c>
      <c r="F906" t="s">
        <v>17</v>
      </c>
      <c r="G906">
        <v>393</v>
      </c>
      <c r="H906">
        <v>97</v>
      </c>
      <c r="I906">
        <v>133</v>
      </c>
      <c r="J906">
        <v>357</v>
      </c>
      <c r="K906" s="3">
        <v>222.26</v>
      </c>
      <c r="L906" s="3">
        <v>79346.820000000007</v>
      </c>
      <c r="M906" t="s">
        <v>24</v>
      </c>
    </row>
    <row r="907" spans="1:13">
      <c r="A907" t="s">
        <v>976</v>
      </c>
      <c r="B907" s="2">
        <v>46236</v>
      </c>
      <c r="C907" t="s">
        <v>51</v>
      </c>
      <c r="D907" t="s">
        <v>52</v>
      </c>
      <c r="E907" t="s">
        <v>28</v>
      </c>
      <c r="F907" t="s">
        <v>33</v>
      </c>
      <c r="G907">
        <v>143</v>
      </c>
      <c r="H907">
        <v>146</v>
      </c>
      <c r="I907">
        <v>39</v>
      </c>
      <c r="J907">
        <v>250</v>
      </c>
      <c r="K907" s="3">
        <v>26.76</v>
      </c>
      <c r="L907" s="3">
        <v>6690</v>
      </c>
      <c r="M907" t="s">
        <v>18</v>
      </c>
    </row>
    <row r="908" spans="1:13">
      <c r="A908" t="s">
        <v>977</v>
      </c>
      <c r="B908" s="2">
        <v>46191</v>
      </c>
      <c r="C908" t="s">
        <v>80</v>
      </c>
      <c r="D908" t="s">
        <v>81</v>
      </c>
      <c r="E908" t="s">
        <v>28</v>
      </c>
      <c r="F908" t="s">
        <v>33</v>
      </c>
      <c r="G908">
        <v>249</v>
      </c>
      <c r="H908">
        <v>138</v>
      </c>
      <c r="I908">
        <v>33</v>
      </c>
      <c r="J908">
        <v>354</v>
      </c>
      <c r="K908" s="3">
        <v>4.57</v>
      </c>
      <c r="L908" s="3">
        <v>1617.78</v>
      </c>
      <c r="M908" t="s">
        <v>49</v>
      </c>
    </row>
    <row r="909" spans="1:13">
      <c r="A909" t="s">
        <v>978</v>
      </c>
      <c r="B909" s="2">
        <v>46126</v>
      </c>
      <c r="C909" t="s">
        <v>35</v>
      </c>
      <c r="D909" t="s">
        <v>36</v>
      </c>
      <c r="E909" t="s">
        <v>37</v>
      </c>
      <c r="F909" t="s">
        <v>38</v>
      </c>
      <c r="G909">
        <v>461</v>
      </c>
      <c r="H909">
        <v>35</v>
      </c>
      <c r="I909">
        <v>79</v>
      </c>
      <c r="J909">
        <v>417</v>
      </c>
      <c r="K909" s="3">
        <v>234.07</v>
      </c>
      <c r="L909" s="3">
        <v>97607.19</v>
      </c>
      <c r="M909" t="s">
        <v>24</v>
      </c>
    </row>
    <row r="910" spans="1:13">
      <c r="A910" t="s">
        <v>979</v>
      </c>
      <c r="B910" s="2">
        <v>46243</v>
      </c>
      <c r="C910" t="s">
        <v>77</v>
      </c>
      <c r="D910" t="s">
        <v>78</v>
      </c>
      <c r="E910" t="s">
        <v>16</v>
      </c>
      <c r="F910" t="s">
        <v>17</v>
      </c>
      <c r="G910">
        <v>485</v>
      </c>
      <c r="H910">
        <v>37</v>
      </c>
      <c r="I910">
        <v>167</v>
      </c>
      <c r="J910">
        <v>355</v>
      </c>
      <c r="K910" s="3">
        <v>221.34</v>
      </c>
      <c r="L910" s="3">
        <v>78575.7</v>
      </c>
      <c r="M910" t="s">
        <v>49</v>
      </c>
    </row>
    <row r="911" spans="1:13">
      <c r="A911" t="s">
        <v>980</v>
      </c>
      <c r="B911" s="2">
        <v>46057</v>
      </c>
      <c r="C911" t="s">
        <v>66</v>
      </c>
      <c r="D911" t="s">
        <v>67</v>
      </c>
      <c r="E911" t="s">
        <v>16</v>
      </c>
      <c r="F911" t="s">
        <v>68</v>
      </c>
      <c r="G911">
        <v>305</v>
      </c>
      <c r="H911">
        <v>136</v>
      </c>
      <c r="I911">
        <v>184</v>
      </c>
      <c r="J911">
        <v>257</v>
      </c>
      <c r="K911" s="3">
        <v>59.68</v>
      </c>
      <c r="L911" s="3">
        <v>15337.76</v>
      </c>
      <c r="M911" t="s">
        <v>18</v>
      </c>
    </row>
    <row r="912" spans="1:13">
      <c r="A912" t="s">
        <v>981</v>
      </c>
      <c r="B912" s="2">
        <v>46038</v>
      </c>
      <c r="C912" t="s">
        <v>77</v>
      </c>
      <c r="D912" t="s">
        <v>78</v>
      </c>
      <c r="E912" t="s">
        <v>16</v>
      </c>
      <c r="F912" t="s">
        <v>17</v>
      </c>
      <c r="G912">
        <v>411</v>
      </c>
      <c r="H912">
        <v>81</v>
      </c>
      <c r="I912">
        <v>105</v>
      </c>
      <c r="J912">
        <v>387</v>
      </c>
      <c r="K912" s="3">
        <v>222.28</v>
      </c>
      <c r="L912" s="3">
        <v>86022.36</v>
      </c>
      <c r="M912" t="s">
        <v>18</v>
      </c>
    </row>
    <row r="913" spans="1:13">
      <c r="A913" t="s">
        <v>982</v>
      </c>
      <c r="B913" s="2">
        <v>46163</v>
      </c>
      <c r="C913" t="s">
        <v>55</v>
      </c>
      <c r="D913" t="s">
        <v>56</v>
      </c>
      <c r="E913" t="s">
        <v>28</v>
      </c>
      <c r="F913" t="s">
        <v>29</v>
      </c>
      <c r="G913">
        <v>97</v>
      </c>
      <c r="H913">
        <v>48</v>
      </c>
      <c r="I913">
        <v>27</v>
      </c>
      <c r="J913">
        <v>118</v>
      </c>
      <c r="K913" s="3">
        <v>172.23</v>
      </c>
      <c r="L913" s="3">
        <v>20323.14</v>
      </c>
      <c r="M913" t="s">
        <v>49</v>
      </c>
    </row>
    <row r="914" spans="1:13">
      <c r="A914" t="s">
        <v>983</v>
      </c>
      <c r="B914" s="2">
        <v>46159</v>
      </c>
      <c r="C914" t="s">
        <v>80</v>
      </c>
      <c r="D914" t="s">
        <v>81</v>
      </c>
      <c r="E914" t="s">
        <v>28</v>
      </c>
      <c r="F914" t="s">
        <v>33</v>
      </c>
      <c r="G914">
        <v>330</v>
      </c>
      <c r="H914">
        <v>145</v>
      </c>
      <c r="I914">
        <v>156</v>
      </c>
      <c r="J914">
        <v>319</v>
      </c>
      <c r="K914" s="3">
        <v>4.59</v>
      </c>
      <c r="L914" s="3">
        <v>1464.21</v>
      </c>
      <c r="M914" t="s">
        <v>49</v>
      </c>
    </row>
    <row r="915" spans="1:13">
      <c r="A915" t="s">
        <v>984</v>
      </c>
      <c r="B915" s="2">
        <v>46036</v>
      </c>
      <c r="C915" t="s">
        <v>51</v>
      </c>
      <c r="D915" t="s">
        <v>52</v>
      </c>
      <c r="E915" t="s">
        <v>28</v>
      </c>
      <c r="F915" t="s">
        <v>33</v>
      </c>
      <c r="G915">
        <v>203</v>
      </c>
      <c r="H915">
        <v>20</v>
      </c>
      <c r="I915">
        <v>176</v>
      </c>
      <c r="J915">
        <v>47</v>
      </c>
      <c r="K915" s="3">
        <v>28.29</v>
      </c>
      <c r="L915" s="3">
        <v>1329.63</v>
      </c>
      <c r="M915" t="s">
        <v>49</v>
      </c>
    </row>
    <row r="916" spans="1:13">
      <c r="A916" t="s">
        <v>985</v>
      </c>
      <c r="B916" s="2">
        <v>46263</v>
      </c>
      <c r="C916" t="s">
        <v>59</v>
      </c>
      <c r="D916" t="s">
        <v>60</v>
      </c>
      <c r="E916" t="s">
        <v>16</v>
      </c>
      <c r="F916" t="s">
        <v>17</v>
      </c>
      <c r="G916">
        <v>384</v>
      </c>
      <c r="H916">
        <v>166</v>
      </c>
      <c r="I916">
        <v>95</v>
      </c>
      <c r="J916">
        <v>455</v>
      </c>
      <c r="K916" s="3">
        <v>60.82</v>
      </c>
      <c r="L916" s="3">
        <v>27673.1</v>
      </c>
      <c r="M916" t="s">
        <v>18</v>
      </c>
    </row>
    <row r="917" spans="1:13">
      <c r="A917" t="s">
        <v>986</v>
      </c>
      <c r="B917" s="2">
        <v>46265</v>
      </c>
      <c r="C917" t="s">
        <v>124</v>
      </c>
      <c r="D917" t="s">
        <v>125</v>
      </c>
      <c r="E917" t="s">
        <v>22</v>
      </c>
      <c r="F917" t="s">
        <v>23</v>
      </c>
      <c r="G917">
        <v>90</v>
      </c>
      <c r="H917">
        <v>41</v>
      </c>
      <c r="I917">
        <v>49</v>
      </c>
      <c r="J917">
        <v>82</v>
      </c>
      <c r="K917" s="3">
        <v>147.21</v>
      </c>
      <c r="L917" s="3">
        <v>12071.22</v>
      </c>
      <c r="M917" t="s">
        <v>18</v>
      </c>
    </row>
    <row r="918" spans="1:13">
      <c r="A918" t="s">
        <v>987</v>
      </c>
      <c r="B918" s="2">
        <v>46161</v>
      </c>
      <c r="C918" t="s">
        <v>116</v>
      </c>
      <c r="D918" t="s">
        <v>117</v>
      </c>
      <c r="E918" t="s">
        <v>22</v>
      </c>
      <c r="F918" t="s">
        <v>23</v>
      </c>
      <c r="G918">
        <v>231</v>
      </c>
      <c r="H918">
        <v>56</v>
      </c>
      <c r="I918">
        <v>190</v>
      </c>
      <c r="J918">
        <v>97</v>
      </c>
      <c r="K918" s="3">
        <v>185.06</v>
      </c>
      <c r="L918" s="3">
        <v>17950.82</v>
      </c>
      <c r="M918" t="s">
        <v>49</v>
      </c>
    </row>
    <row r="919" spans="1:13">
      <c r="A919" t="s">
        <v>988</v>
      </c>
      <c r="B919" s="2">
        <v>46056</v>
      </c>
      <c r="C919" t="s">
        <v>99</v>
      </c>
      <c r="D919" t="s">
        <v>100</v>
      </c>
      <c r="E919" t="s">
        <v>43</v>
      </c>
      <c r="F919" t="s">
        <v>44</v>
      </c>
      <c r="G919">
        <v>110</v>
      </c>
      <c r="H919">
        <v>112</v>
      </c>
      <c r="I919">
        <v>157</v>
      </c>
      <c r="J919">
        <v>65</v>
      </c>
      <c r="K919" s="3">
        <v>249.73</v>
      </c>
      <c r="L919" s="3">
        <v>16232.45</v>
      </c>
      <c r="M919" t="s">
        <v>18</v>
      </c>
    </row>
    <row r="920" spans="1:13">
      <c r="A920" t="s">
        <v>989</v>
      </c>
      <c r="B920" s="2">
        <v>46149</v>
      </c>
      <c r="C920" t="s">
        <v>55</v>
      </c>
      <c r="D920" t="s">
        <v>56</v>
      </c>
      <c r="E920" t="s">
        <v>28</v>
      </c>
      <c r="F920" t="s">
        <v>29</v>
      </c>
      <c r="G920">
        <v>238</v>
      </c>
      <c r="H920">
        <v>103</v>
      </c>
      <c r="I920">
        <v>198</v>
      </c>
      <c r="J920">
        <v>143</v>
      </c>
      <c r="K920" s="3">
        <v>169.6</v>
      </c>
      <c r="L920" s="3">
        <v>24252.799999999999</v>
      </c>
      <c r="M920" t="s">
        <v>24</v>
      </c>
    </row>
    <row r="921" spans="1:13">
      <c r="A921" t="s">
        <v>990</v>
      </c>
      <c r="B921" s="2">
        <v>46183</v>
      </c>
      <c r="C921" t="s">
        <v>136</v>
      </c>
      <c r="D921" t="s">
        <v>137</v>
      </c>
      <c r="E921" t="s">
        <v>37</v>
      </c>
      <c r="F921" t="s">
        <v>38</v>
      </c>
      <c r="G921">
        <v>221</v>
      </c>
      <c r="H921">
        <v>156</v>
      </c>
      <c r="I921">
        <v>190</v>
      </c>
      <c r="J921">
        <v>187</v>
      </c>
      <c r="K921" s="3">
        <v>10.47</v>
      </c>
      <c r="L921" s="3">
        <v>1957.89</v>
      </c>
      <c r="M921" t="s">
        <v>24</v>
      </c>
    </row>
    <row r="922" spans="1:13">
      <c r="A922" t="s">
        <v>991</v>
      </c>
      <c r="B922" s="2">
        <v>46042</v>
      </c>
      <c r="C922" t="s">
        <v>59</v>
      </c>
      <c r="D922" t="s">
        <v>60</v>
      </c>
      <c r="E922" t="s">
        <v>16</v>
      </c>
      <c r="F922" t="s">
        <v>17</v>
      </c>
      <c r="G922">
        <v>286</v>
      </c>
      <c r="H922">
        <v>27</v>
      </c>
      <c r="I922">
        <v>115</v>
      </c>
      <c r="J922">
        <v>198</v>
      </c>
      <c r="K922" s="3">
        <v>63.62</v>
      </c>
      <c r="L922" s="3">
        <v>12596.76</v>
      </c>
      <c r="M922" t="s">
        <v>49</v>
      </c>
    </row>
    <row r="923" spans="1:13">
      <c r="A923" t="s">
        <v>992</v>
      </c>
      <c r="B923" s="2">
        <v>46288</v>
      </c>
      <c r="C923" t="s">
        <v>51</v>
      </c>
      <c r="D923" t="s">
        <v>52</v>
      </c>
      <c r="E923" t="s">
        <v>28</v>
      </c>
      <c r="F923" t="s">
        <v>33</v>
      </c>
      <c r="G923">
        <v>295</v>
      </c>
      <c r="H923">
        <v>101</v>
      </c>
      <c r="I923">
        <v>188</v>
      </c>
      <c r="J923">
        <v>208</v>
      </c>
      <c r="K923" s="3">
        <v>25.09</v>
      </c>
      <c r="L923" s="3">
        <v>5218.72</v>
      </c>
      <c r="M923" t="s">
        <v>18</v>
      </c>
    </row>
    <row r="924" spans="1:13">
      <c r="A924" t="s">
        <v>993</v>
      </c>
      <c r="B924" s="2">
        <v>46048</v>
      </c>
      <c r="C924" t="s">
        <v>59</v>
      </c>
      <c r="D924" t="s">
        <v>60</v>
      </c>
      <c r="E924" t="s">
        <v>16</v>
      </c>
      <c r="F924" t="s">
        <v>17</v>
      </c>
      <c r="G924">
        <v>117</v>
      </c>
      <c r="H924">
        <v>74</v>
      </c>
      <c r="I924">
        <v>112</v>
      </c>
      <c r="J924">
        <v>79</v>
      </c>
      <c r="K924" s="3">
        <v>63.02</v>
      </c>
      <c r="L924" s="3">
        <v>4978.58</v>
      </c>
      <c r="M924" t="s">
        <v>18</v>
      </c>
    </row>
    <row r="925" spans="1:13">
      <c r="A925" t="s">
        <v>994</v>
      </c>
      <c r="B925" s="2">
        <v>46259</v>
      </c>
      <c r="C925" t="s">
        <v>71</v>
      </c>
      <c r="D925" t="s">
        <v>72</v>
      </c>
      <c r="E925" t="s">
        <v>22</v>
      </c>
      <c r="F925" t="s">
        <v>68</v>
      </c>
      <c r="G925">
        <v>105</v>
      </c>
      <c r="H925">
        <v>108</v>
      </c>
      <c r="I925">
        <v>75</v>
      </c>
      <c r="J925">
        <v>138</v>
      </c>
      <c r="K925" s="3">
        <v>11.46</v>
      </c>
      <c r="L925" s="3">
        <v>1581.48</v>
      </c>
      <c r="M925" t="s">
        <v>49</v>
      </c>
    </row>
    <row r="926" spans="1:13">
      <c r="A926" t="s">
        <v>995</v>
      </c>
      <c r="B926" s="2">
        <v>46095</v>
      </c>
      <c r="C926" t="s">
        <v>59</v>
      </c>
      <c r="D926" t="s">
        <v>60</v>
      </c>
      <c r="E926" t="s">
        <v>16</v>
      </c>
      <c r="F926" t="s">
        <v>17</v>
      </c>
      <c r="G926">
        <v>257</v>
      </c>
      <c r="H926">
        <v>165</v>
      </c>
      <c r="I926">
        <v>115</v>
      </c>
      <c r="J926">
        <v>307</v>
      </c>
      <c r="K926" s="3">
        <v>59.86</v>
      </c>
      <c r="L926" s="3">
        <v>18377.02</v>
      </c>
      <c r="M926" t="s">
        <v>24</v>
      </c>
    </row>
    <row r="927" spans="1:13">
      <c r="A927" t="s">
        <v>996</v>
      </c>
      <c r="B927" s="2">
        <v>46115</v>
      </c>
      <c r="C927" t="s">
        <v>20</v>
      </c>
      <c r="D927" t="s">
        <v>21</v>
      </c>
      <c r="E927" t="s">
        <v>22</v>
      </c>
      <c r="F927" t="s">
        <v>23</v>
      </c>
      <c r="G927">
        <v>418</v>
      </c>
      <c r="H927">
        <v>149</v>
      </c>
      <c r="I927">
        <v>178</v>
      </c>
      <c r="J927">
        <v>389</v>
      </c>
      <c r="K927" s="3">
        <v>65.31</v>
      </c>
      <c r="L927" s="3">
        <v>25405.59</v>
      </c>
      <c r="M927" t="s">
        <v>18</v>
      </c>
    </row>
    <row r="928" spans="1:13">
      <c r="A928" t="s">
        <v>997</v>
      </c>
      <c r="B928" s="2">
        <v>46188</v>
      </c>
      <c r="C928" t="s">
        <v>62</v>
      </c>
      <c r="D928" t="s">
        <v>63</v>
      </c>
      <c r="E928" t="s">
        <v>37</v>
      </c>
      <c r="F928" t="s">
        <v>38</v>
      </c>
      <c r="G928">
        <v>250</v>
      </c>
      <c r="H928">
        <v>6</v>
      </c>
      <c r="I928">
        <v>45</v>
      </c>
      <c r="J928">
        <v>211</v>
      </c>
      <c r="K928" s="3">
        <v>57.65</v>
      </c>
      <c r="L928" s="3">
        <v>12164.15</v>
      </c>
      <c r="M928" t="s">
        <v>24</v>
      </c>
    </row>
    <row r="929" spans="1:13">
      <c r="A929" t="s">
        <v>998</v>
      </c>
      <c r="B929" s="2">
        <v>46255</v>
      </c>
      <c r="C929" t="s">
        <v>99</v>
      </c>
      <c r="D929" t="s">
        <v>100</v>
      </c>
      <c r="E929" t="s">
        <v>43</v>
      </c>
      <c r="F929" t="s">
        <v>44</v>
      </c>
      <c r="G929">
        <v>66</v>
      </c>
      <c r="H929">
        <v>64</v>
      </c>
      <c r="I929">
        <v>82</v>
      </c>
      <c r="J929">
        <v>48</v>
      </c>
      <c r="K929" s="3">
        <v>257.81</v>
      </c>
      <c r="L929" s="3">
        <v>12374.88</v>
      </c>
      <c r="M929" t="s">
        <v>24</v>
      </c>
    </row>
    <row r="930" spans="1:13">
      <c r="A930" t="s">
        <v>999</v>
      </c>
      <c r="B930" s="2">
        <v>46086</v>
      </c>
      <c r="C930" t="s">
        <v>14</v>
      </c>
      <c r="D930" t="s">
        <v>15</v>
      </c>
      <c r="E930" t="s">
        <v>16</v>
      </c>
      <c r="F930" t="s">
        <v>17</v>
      </c>
      <c r="G930">
        <v>66</v>
      </c>
      <c r="H930">
        <v>29</v>
      </c>
      <c r="I930">
        <v>90</v>
      </c>
      <c r="J930">
        <v>5</v>
      </c>
      <c r="K930" s="3">
        <v>188.9</v>
      </c>
      <c r="L930" s="3">
        <v>944.5</v>
      </c>
      <c r="M930" t="s">
        <v>18</v>
      </c>
    </row>
    <row r="931" spans="1:13">
      <c r="A931" t="s">
        <v>1000</v>
      </c>
      <c r="B931" s="2">
        <v>46291</v>
      </c>
      <c r="C931" t="s">
        <v>31</v>
      </c>
      <c r="D931" t="s">
        <v>32</v>
      </c>
      <c r="E931" t="s">
        <v>28</v>
      </c>
      <c r="F931" t="s">
        <v>33</v>
      </c>
      <c r="G931">
        <v>382</v>
      </c>
      <c r="H931">
        <v>98</v>
      </c>
      <c r="I931">
        <v>186</v>
      </c>
      <c r="J931">
        <v>294</v>
      </c>
      <c r="K931" s="3">
        <v>82.87</v>
      </c>
      <c r="L931" s="3">
        <v>24363.78</v>
      </c>
      <c r="M931" t="s">
        <v>24</v>
      </c>
    </row>
    <row r="932" spans="1:13">
      <c r="A932" t="s">
        <v>1001</v>
      </c>
      <c r="B932" s="2">
        <v>46104</v>
      </c>
      <c r="C932" t="s">
        <v>80</v>
      </c>
      <c r="D932" t="s">
        <v>81</v>
      </c>
      <c r="E932" t="s">
        <v>28</v>
      </c>
      <c r="F932" t="s">
        <v>33</v>
      </c>
      <c r="G932">
        <v>213</v>
      </c>
      <c r="H932">
        <v>140</v>
      </c>
      <c r="I932">
        <v>97</v>
      </c>
      <c r="J932">
        <v>256</v>
      </c>
      <c r="K932" s="3">
        <v>4.45</v>
      </c>
      <c r="L932" s="3">
        <v>1139.2</v>
      </c>
      <c r="M932" t="s">
        <v>49</v>
      </c>
    </row>
    <row r="933" spans="1:13">
      <c r="A933" t="s">
        <v>1002</v>
      </c>
      <c r="B933" s="2">
        <v>46099</v>
      </c>
      <c r="C933" t="s">
        <v>66</v>
      </c>
      <c r="D933" t="s">
        <v>67</v>
      </c>
      <c r="E933" t="s">
        <v>16</v>
      </c>
      <c r="F933" t="s">
        <v>68</v>
      </c>
      <c r="G933">
        <v>103</v>
      </c>
      <c r="H933">
        <v>37</v>
      </c>
      <c r="I933">
        <v>45</v>
      </c>
      <c r="J933">
        <v>95</v>
      </c>
      <c r="K933" s="3">
        <v>66.3</v>
      </c>
      <c r="L933" s="3">
        <v>6298.5</v>
      </c>
      <c r="M933" t="s">
        <v>49</v>
      </c>
    </row>
    <row r="934" spans="1:13">
      <c r="A934" t="s">
        <v>1003</v>
      </c>
      <c r="B934" s="2">
        <v>46180</v>
      </c>
      <c r="C934" t="s">
        <v>62</v>
      </c>
      <c r="D934" t="s">
        <v>63</v>
      </c>
      <c r="E934" t="s">
        <v>37</v>
      </c>
      <c r="F934" t="s">
        <v>38</v>
      </c>
      <c r="G934">
        <v>178</v>
      </c>
      <c r="H934">
        <v>114</v>
      </c>
      <c r="I934">
        <v>73</v>
      </c>
      <c r="J934">
        <v>219</v>
      </c>
      <c r="K934" s="3">
        <v>59.25</v>
      </c>
      <c r="L934" s="3">
        <v>12975.75</v>
      </c>
      <c r="M934" t="s">
        <v>49</v>
      </c>
    </row>
    <row r="935" spans="1:13">
      <c r="A935" t="s">
        <v>1004</v>
      </c>
      <c r="B935" s="2">
        <v>46126</v>
      </c>
      <c r="C935" t="s">
        <v>77</v>
      </c>
      <c r="D935" t="s">
        <v>78</v>
      </c>
      <c r="E935" t="s">
        <v>16</v>
      </c>
      <c r="F935" t="s">
        <v>17</v>
      </c>
      <c r="G935">
        <v>21</v>
      </c>
      <c r="H935">
        <v>159</v>
      </c>
      <c r="I935">
        <v>64</v>
      </c>
      <c r="J935">
        <v>116</v>
      </c>
      <c r="K935" s="3">
        <v>190.85</v>
      </c>
      <c r="L935" s="3">
        <v>22138.6</v>
      </c>
      <c r="M935" t="s">
        <v>18</v>
      </c>
    </row>
    <row r="936" spans="1:13">
      <c r="A936" t="s">
        <v>1005</v>
      </c>
      <c r="B936" s="2">
        <v>46025</v>
      </c>
      <c r="C936" t="s">
        <v>124</v>
      </c>
      <c r="D936" t="s">
        <v>125</v>
      </c>
      <c r="E936" t="s">
        <v>22</v>
      </c>
      <c r="F936" t="s">
        <v>23</v>
      </c>
      <c r="G936">
        <v>331</v>
      </c>
      <c r="H936">
        <v>126</v>
      </c>
      <c r="I936">
        <v>60</v>
      </c>
      <c r="J936">
        <v>397</v>
      </c>
      <c r="K936" s="3">
        <v>146.97</v>
      </c>
      <c r="L936" s="3">
        <v>58347.09</v>
      </c>
      <c r="M936" t="s">
        <v>24</v>
      </c>
    </row>
    <row r="937" spans="1:13">
      <c r="A937" t="s">
        <v>1006</v>
      </c>
      <c r="B937" s="2">
        <v>46255</v>
      </c>
      <c r="C937" t="s">
        <v>124</v>
      </c>
      <c r="D937" t="s">
        <v>125</v>
      </c>
      <c r="E937" t="s">
        <v>22</v>
      </c>
      <c r="F937" t="s">
        <v>23</v>
      </c>
      <c r="G937">
        <v>229</v>
      </c>
      <c r="H937">
        <v>113</v>
      </c>
      <c r="I937">
        <v>20</v>
      </c>
      <c r="J937">
        <v>322</v>
      </c>
      <c r="K937" s="3">
        <v>156.44</v>
      </c>
      <c r="L937" s="3">
        <v>50373.68</v>
      </c>
      <c r="M937" t="s">
        <v>49</v>
      </c>
    </row>
    <row r="938" spans="1:13">
      <c r="A938" t="s">
        <v>1007</v>
      </c>
      <c r="B938" s="2">
        <v>46165</v>
      </c>
      <c r="C938" t="s">
        <v>51</v>
      </c>
      <c r="D938" t="s">
        <v>52</v>
      </c>
      <c r="E938" t="s">
        <v>28</v>
      </c>
      <c r="F938" t="s">
        <v>33</v>
      </c>
      <c r="G938">
        <v>337</v>
      </c>
      <c r="H938">
        <v>160</v>
      </c>
      <c r="I938">
        <v>142</v>
      </c>
      <c r="J938">
        <v>355</v>
      </c>
      <c r="K938" s="3">
        <v>28.47</v>
      </c>
      <c r="L938" s="3">
        <v>10106.85</v>
      </c>
      <c r="M938" t="s">
        <v>49</v>
      </c>
    </row>
    <row r="939" spans="1:13">
      <c r="A939" t="s">
        <v>1008</v>
      </c>
      <c r="B939" s="2">
        <v>46117</v>
      </c>
      <c r="C939" t="s">
        <v>86</v>
      </c>
      <c r="D939" t="s">
        <v>87</v>
      </c>
      <c r="E939" t="s">
        <v>43</v>
      </c>
      <c r="F939" t="s">
        <v>44</v>
      </c>
      <c r="G939">
        <v>95</v>
      </c>
      <c r="H939">
        <v>14</v>
      </c>
      <c r="I939">
        <v>83</v>
      </c>
      <c r="J939">
        <v>26</v>
      </c>
      <c r="K939" s="3">
        <v>9.69</v>
      </c>
      <c r="L939" s="3">
        <v>251.94</v>
      </c>
      <c r="M939" t="s">
        <v>49</v>
      </c>
    </row>
    <row r="940" spans="1:13">
      <c r="A940" t="s">
        <v>1009</v>
      </c>
      <c r="B940" s="2">
        <v>46175</v>
      </c>
      <c r="C940" t="s">
        <v>86</v>
      </c>
      <c r="D940" t="s">
        <v>87</v>
      </c>
      <c r="E940" t="s">
        <v>43</v>
      </c>
      <c r="F940" t="s">
        <v>44</v>
      </c>
      <c r="G940">
        <v>189</v>
      </c>
      <c r="H940">
        <v>22</v>
      </c>
      <c r="I940">
        <v>12</v>
      </c>
      <c r="J940">
        <v>199</v>
      </c>
      <c r="K940" s="3">
        <v>9.31</v>
      </c>
      <c r="L940" s="3">
        <v>1852.69</v>
      </c>
      <c r="M940" t="s">
        <v>49</v>
      </c>
    </row>
    <row r="941" spans="1:13">
      <c r="A941" t="s">
        <v>1010</v>
      </c>
      <c r="B941" s="2">
        <v>46168</v>
      </c>
      <c r="C941" t="s">
        <v>14</v>
      </c>
      <c r="D941" t="s">
        <v>15</v>
      </c>
      <c r="E941" t="s">
        <v>16</v>
      </c>
      <c r="F941" t="s">
        <v>17</v>
      </c>
      <c r="G941">
        <v>332</v>
      </c>
      <c r="H941">
        <v>169</v>
      </c>
      <c r="I941">
        <v>177</v>
      </c>
      <c r="J941">
        <v>324</v>
      </c>
      <c r="K941" s="3">
        <v>196.54</v>
      </c>
      <c r="L941" s="3">
        <v>63678.96</v>
      </c>
      <c r="M941" t="s">
        <v>24</v>
      </c>
    </row>
    <row r="942" spans="1:13">
      <c r="A942" t="s">
        <v>1011</v>
      </c>
      <c r="B942" s="2">
        <v>46113</v>
      </c>
      <c r="C942" t="s">
        <v>47</v>
      </c>
      <c r="D942" t="s">
        <v>48</v>
      </c>
      <c r="E942" t="s">
        <v>43</v>
      </c>
      <c r="F942" t="s">
        <v>44</v>
      </c>
      <c r="G942">
        <v>253</v>
      </c>
      <c r="H942">
        <v>148</v>
      </c>
      <c r="I942">
        <v>92</v>
      </c>
      <c r="J942">
        <v>309</v>
      </c>
      <c r="K942" s="3">
        <v>177.7</v>
      </c>
      <c r="L942" s="3">
        <v>54909.3</v>
      </c>
      <c r="M942" t="s">
        <v>49</v>
      </c>
    </row>
    <row r="943" spans="1:13">
      <c r="A943" t="s">
        <v>1012</v>
      </c>
      <c r="B943" s="2">
        <v>46188</v>
      </c>
      <c r="C943" t="s">
        <v>71</v>
      </c>
      <c r="D943" t="s">
        <v>72</v>
      </c>
      <c r="E943" t="s">
        <v>22</v>
      </c>
      <c r="F943" t="s">
        <v>68</v>
      </c>
      <c r="G943">
        <v>208</v>
      </c>
      <c r="H943">
        <v>97</v>
      </c>
      <c r="I943">
        <v>209</v>
      </c>
      <c r="J943">
        <v>96</v>
      </c>
      <c r="K943" s="3">
        <v>10.48</v>
      </c>
      <c r="L943" s="3">
        <v>1006.08</v>
      </c>
      <c r="M943" t="s">
        <v>18</v>
      </c>
    </row>
    <row r="944" spans="1:13">
      <c r="A944" t="s">
        <v>1013</v>
      </c>
      <c r="B944" s="2">
        <v>46056</v>
      </c>
      <c r="C944" t="s">
        <v>47</v>
      </c>
      <c r="D944" t="s">
        <v>48</v>
      </c>
      <c r="E944" t="s">
        <v>43</v>
      </c>
      <c r="F944" t="s">
        <v>44</v>
      </c>
      <c r="G944">
        <v>169</v>
      </c>
      <c r="H944">
        <v>120</v>
      </c>
      <c r="I944">
        <v>34</v>
      </c>
      <c r="J944">
        <v>255</v>
      </c>
      <c r="K944" s="3">
        <v>156.16999999999999</v>
      </c>
      <c r="L944" s="3">
        <v>39823.35</v>
      </c>
      <c r="M944" t="s">
        <v>18</v>
      </c>
    </row>
    <row r="945" spans="1:13">
      <c r="A945" t="s">
        <v>1014</v>
      </c>
      <c r="B945" s="2">
        <v>46292</v>
      </c>
      <c r="C945" t="s">
        <v>66</v>
      </c>
      <c r="D945" t="s">
        <v>67</v>
      </c>
      <c r="E945" t="s">
        <v>16</v>
      </c>
      <c r="F945" t="s">
        <v>68</v>
      </c>
      <c r="G945">
        <v>231</v>
      </c>
      <c r="H945">
        <v>134</v>
      </c>
      <c r="I945">
        <v>53</v>
      </c>
      <c r="J945">
        <v>312</v>
      </c>
      <c r="K945" s="3">
        <v>65.55</v>
      </c>
      <c r="L945" s="3">
        <v>20451.599999999999</v>
      </c>
      <c r="M945" t="s">
        <v>24</v>
      </c>
    </row>
    <row r="946" spans="1:13">
      <c r="A946" t="s">
        <v>1015</v>
      </c>
      <c r="B946" s="2">
        <v>46078</v>
      </c>
      <c r="C946" t="s">
        <v>86</v>
      </c>
      <c r="D946" t="s">
        <v>87</v>
      </c>
      <c r="E946" t="s">
        <v>43</v>
      </c>
      <c r="F946" t="s">
        <v>44</v>
      </c>
      <c r="G946">
        <v>312</v>
      </c>
      <c r="H946">
        <v>161</v>
      </c>
      <c r="I946">
        <v>135</v>
      </c>
      <c r="J946">
        <v>338</v>
      </c>
      <c r="K946" s="3">
        <v>10.7</v>
      </c>
      <c r="L946" s="3">
        <v>3616.6</v>
      </c>
      <c r="M946" t="s">
        <v>18</v>
      </c>
    </row>
    <row r="947" spans="1:13">
      <c r="A947" t="s">
        <v>1016</v>
      </c>
      <c r="B947" s="2">
        <v>46170</v>
      </c>
      <c r="C947" t="s">
        <v>80</v>
      </c>
      <c r="D947" t="s">
        <v>81</v>
      </c>
      <c r="E947" t="s">
        <v>28</v>
      </c>
      <c r="F947" t="s">
        <v>33</v>
      </c>
      <c r="G947">
        <v>238</v>
      </c>
      <c r="H947">
        <v>155</v>
      </c>
      <c r="I947">
        <v>217</v>
      </c>
      <c r="J947">
        <v>176</v>
      </c>
      <c r="K947" s="3">
        <v>4.66</v>
      </c>
      <c r="L947" s="3">
        <v>820.16</v>
      </c>
      <c r="M947" t="s">
        <v>24</v>
      </c>
    </row>
    <row r="948" spans="1:13">
      <c r="A948" t="s">
        <v>1017</v>
      </c>
      <c r="B948" s="2">
        <v>46204</v>
      </c>
      <c r="C948" t="s">
        <v>35</v>
      </c>
      <c r="D948" t="s">
        <v>36</v>
      </c>
      <c r="E948" t="s">
        <v>37</v>
      </c>
      <c r="F948" t="s">
        <v>38</v>
      </c>
      <c r="G948">
        <v>494</v>
      </c>
      <c r="H948">
        <v>33</v>
      </c>
      <c r="I948">
        <v>157</v>
      </c>
      <c r="J948">
        <v>370</v>
      </c>
      <c r="K948" s="3">
        <v>229.49</v>
      </c>
      <c r="L948" s="3">
        <v>84911.3</v>
      </c>
      <c r="M948" t="s">
        <v>24</v>
      </c>
    </row>
    <row r="949" spans="1:13">
      <c r="A949" t="s">
        <v>1018</v>
      </c>
      <c r="B949" s="2">
        <v>46275</v>
      </c>
      <c r="C949" t="s">
        <v>124</v>
      </c>
      <c r="D949" t="s">
        <v>125</v>
      </c>
      <c r="E949" t="s">
        <v>22</v>
      </c>
      <c r="F949" t="s">
        <v>23</v>
      </c>
      <c r="G949">
        <v>433</v>
      </c>
      <c r="H949">
        <v>46</v>
      </c>
      <c r="I949">
        <v>156</v>
      </c>
      <c r="J949">
        <v>323</v>
      </c>
      <c r="K949" s="3">
        <v>147.37</v>
      </c>
      <c r="L949" s="3">
        <v>47600.51</v>
      </c>
      <c r="M949" t="s">
        <v>18</v>
      </c>
    </row>
    <row r="950" spans="1:13">
      <c r="A950" t="s">
        <v>1019</v>
      </c>
      <c r="B950" s="2">
        <v>46023</v>
      </c>
      <c r="C950" t="s">
        <v>99</v>
      </c>
      <c r="D950" t="s">
        <v>100</v>
      </c>
      <c r="E950" t="s">
        <v>43</v>
      </c>
      <c r="F950" t="s">
        <v>44</v>
      </c>
      <c r="G950">
        <v>80</v>
      </c>
      <c r="H950">
        <v>6</v>
      </c>
      <c r="I950">
        <v>59</v>
      </c>
      <c r="J950">
        <v>27</v>
      </c>
      <c r="K950" s="3">
        <v>255.15</v>
      </c>
      <c r="L950" s="3">
        <v>6889.05</v>
      </c>
      <c r="M950" t="s">
        <v>49</v>
      </c>
    </row>
    <row r="951" spans="1:13">
      <c r="A951" t="s">
        <v>1020</v>
      </c>
      <c r="B951" s="2">
        <v>46235</v>
      </c>
      <c r="C951" t="s">
        <v>99</v>
      </c>
      <c r="D951" t="s">
        <v>100</v>
      </c>
      <c r="E951" t="s">
        <v>43</v>
      </c>
      <c r="F951" t="s">
        <v>44</v>
      </c>
      <c r="G951">
        <v>231</v>
      </c>
      <c r="H951">
        <v>11</v>
      </c>
      <c r="I951">
        <v>85</v>
      </c>
      <c r="J951">
        <v>157</v>
      </c>
      <c r="K951" s="3">
        <v>244.12</v>
      </c>
      <c r="L951" s="3">
        <v>38326.839999999997</v>
      </c>
      <c r="M951" t="s">
        <v>24</v>
      </c>
    </row>
    <row r="952" spans="1:13">
      <c r="A952" t="s">
        <v>1021</v>
      </c>
      <c r="B952" s="2">
        <v>46028</v>
      </c>
      <c r="C952" t="s">
        <v>99</v>
      </c>
      <c r="D952" t="s">
        <v>100</v>
      </c>
      <c r="E952" t="s">
        <v>43</v>
      </c>
      <c r="F952" t="s">
        <v>44</v>
      </c>
      <c r="G952">
        <v>347</v>
      </c>
      <c r="H952">
        <v>51</v>
      </c>
      <c r="I952">
        <v>176</v>
      </c>
      <c r="J952">
        <v>222</v>
      </c>
      <c r="K952" s="3">
        <v>241.39</v>
      </c>
      <c r="L952" s="3">
        <v>53588.58</v>
      </c>
      <c r="M952" t="s">
        <v>49</v>
      </c>
    </row>
    <row r="953" spans="1:13">
      <c r="A953" t="s">
        <v>1022</v>
      </c>
      <c r="B953" s="2">
        <v>46176</v>
      </c>
      <c r="C953" t="s">
        <v>71</v>
      </c>
      <c r="D953" t="s">
        <v>72</v>
      </c>
      <c r="E953" t="s">
        <v>22</v>
      </c>
      <c r="F953" t="s">
        <v>68</v>
      </c>
      <c r="G953">
        <v>279</v>
      </c>
      <c r="H953">
        <v>140</v>
      </c>
      <c r="I953">
        <v>82</v>
      </c>
      <c r="J953">
        <v>337</v>
      </c>
      <c r="K953" s="3">
        <v>11.73</v>
      </c>
      <c r="L953" s="3">
        <v>3953.01</v>
      </c>
      <c r="M953" t="s">
        <v>49</v>
      </c>
    </row>
    <row r="954" spans="1:13">
      <c r="A954" t="s">
        <v>1023</v>
      </c>
      <c r="B954" s="2">
        <v>46197</v>
      </c>
      <c r="C954" t="s">
        <v>66</v>
      </c>
      <c r="D954" t="s">
        <v>67</v>
      </c>
      <c r="E954" t="s">
        <v>16</v>
      </c>
      <c r="F954" t="s">
        <v>68</v>
      </c>
      <c r="G954">
        <v>222</v>
      </c>
      <c r="H954">
        <v>145</v>
      </c>
      <c r="I954">
        <v>157</v>
      </c>
      <c r="J954">
        <v>210</v>
      </c>
      <c r="K954" s="3">
        <v>68.239999999999995</v>
      </c>
      <c r="L954" s="3">
        <v>14330.4</v>
      </c>
      <c r="M954" t="s">
        <v>49</v>
      </c>
    </row>
    <row r="955" spans="1:13">
      <c r="A955" t="s">
        <v>1024</v>
      </c>
      <c r="B955" s="2">
        <v>46192</v>
      </c>
      <c r="C955" t="s">
        <v>99</v>
      </c>
      <c r="D955" t="s">
        <v>100</v>
      </c>
      <c r="E955" t="s">
        <v>43</v>
      </c>
      <c r="F955" t="s">
        <v>44</v>
      </c>
      <c r="G955">
        <v>446</v>
      </c>
      <c r="H955">
        <v>86</v>
      </c>
      <c r="I955">
        <v>172</v>
      </c>
      <c r="J955">
        <v>360</v>
      </c>
      <c r="K955" s="3">
        <v>249.3</v>
      </c>
      <c r="L955" s="3">
        <v>89748</v>
      </c>
      <c r="M955" t="s">
        <v>18</v>
      </c>
    </row>
    <row r="956" spans="1:13">
      <c r="A956" t="s">
        <v>1025</v>
      </c>
      <c r="B956" s="2">
        <v>46092</v>
      </c>
      <c r="C956" t="s">
        <v>86</v>
      </c>
      <c r="D956" t="s">
        <v>87</v>
      </c>
      <c r="E956" t="s">
        <v>43</v>
      </c>
      <c r="F956" t="s">
        <v>44</v>
      </c>
      <c r="G956">
        <v>266</v>
      </c>
      <c r="H956">
        <v>39</v>
      </c>
      <c r="I956">
        <v>160</v>
      </c>
      <c r="J956">
        <v>145</v>
      </c>
      <c r="K956" s="3">
        <v>9.8699999999999992</v>
      </c>
      <c r="L956" s="3">
        <v>1431.15</v>
      </c>
      <c r="M956" t="s">
        <v>24</v>
      </c>
    </row>
    <row r="957" spans="1:13">
      <c r="A957" t="s">
        <v>1026</v>
      </c>
      <c r="B957" s="2">
        <v>46259</v>
      </c>
      <c r="C957" t="s">
        <v>66</v>
      </c>
      <c r="D957" t="s">
        <v>67</v>
      </c>
      <c r="E957" t="s">
        <v>16</v>
      </c>
      <c r="F957" t="s">
        <v>68</v>
      </c>
      <c r="G957">
        <v>421</v>
      </c>
      <c r="H957">
        <v>105</v>
      </c>
      <c r="I957">
        <v>190</v>
      </c>
      <c r="J957">
        <v>336</v>
      </c>
      <c r="K957" s="3">
        <v>59.05</v>
      </c>
      <c r="L957" s="3">
        <v>19840.8</v>
      </c>
      <c r="M957" t="s">
        <v>24</v>
      </c>
    </row>
    <row r="958" spans="1:13">
      <c r="A958" t="s">
        <v>1027</v>
      </c>
      <c r="B958" s="2">
        <v>46184</v>
      </c>
      <c r="C958" t="s">
        <v>71</v>
      </c>
      <c r="D958" t="s">
        <v>72</v>
      </c>
      <c r="E958" t="s">
        <v>22</v>
      </c>
      <c r="F958" t="s">
        <v>68</v>
      </c>
      <c r="G958">
        <v>304</v>
      </c>
      <c r="H958">
        <v>137</v>
      </c>
      <c r="I958">
        <v>4</v>
      </c>
      <c r="J958">
        <v>437</v>
      </c>
      <c r="K958" s="3">
        <v>10.73</v>
      </c>
      <c r="L958" s="3">
        <v>4689.01</v>
      </c>
      <c r="M958" t="s">
        <v>24</v>
      </c>
    </row>
    <row r="959" spans="1:13">
      <c r="A959" t="s">
        <v>1028</v>
      </c>
      <c r="B959" s="2">
        <v>46204</v>
      </c>
      <c r="C959" t="s">
        <v>66</v>
      </c>
      <c r="D959" t="s">
        <v>67</v>
      </c>
      <c r="E959" t="s">
        <v>16</v>
      </c>
      <c r="F959" t="s">
        <v>68</v>
      </c>
      <c r="G959">
        <v>53</v>
      </c>
      <c r="H959">
        <v>38</v>
      </c>
      <c r="I959">
        <v>35</v>
      </c>
      <c r="J959">
        <v>56</v>
      </c>
      <c r="K959" s="3">
        <v>67.03</v>
      </c>
      <c r="L959" s="3">
        <v>3753.68</v>
      </c>
      <c r="M959" t="s">
        <v>18</v>
      </c>
    </row>
    <row r="960" spans="1:13">
      <c r="A960" t="s">
        <v>1029</v>
      </c>
      <c r="B960" s="2">
        <v>46107</v>
      </c>
      <c r="C960" t="s">
        <v>136</v>
      </c>
      <c r="D960" t="s">
        <v>137</v>
      </c>
      <c r="E960" t="s">
        <v>37</v>
      </c>
      <c r="F960" t="s">
        <v>38</v>
      </c>
      <c r="G960">
        <v>312</v>
      </c>
      <c r="H960">
        <v>155</v>
      </c>
      <c r="I960">
        <v>99</v>
      </c>
      <c r="J960">
        <v>368</v>
      </c>
      <c r="K960" s="3">
        <v>9.83</v>
      </c>
      <c r="L960" s="3">
        <v>3617.44</v>
      </c>
      <c r="M960" t="s">
        <v>49</v>
      </c>
    </row>
    <row r="961" spans="1:13">
      <c r="A961" t="s">
        <v>1030</v>
      </c>
      <c r="B961" s="2">
        <v>46184</v>
      </c>
      <c r="C961" t="s">
        <v>71</v>
      </c>
      <c r="D961" t="s">
        <v>72</v>
      </c>
      <c r="E961" t="s">
        <v>22</v>
      </c>
      <c r="F961" t="s">
        <v>68</v>
      </c>
      <c r="G961">
        <v>383</v>
      </c>
      <c r="H961">
        <v>8</v>
      </c>
      <c r="I961">
        <v>69</v>
      </c>
      <c r="J961">
        <v>322</v>
      </c>
      <c r="K961" s="3">
        <v>11.1</v>
      </c>
      <c r="L961" s="3">
        <v>3574.2</v>
      </c>
      <c r="M961" t="s">
        <v>18</v>
      </c>
    </row>
    <row r="962" spans="1:13">
      <c r="A962" t="s">
        <v>1031</v>
      </c>
      <c r="B962" s="2">
        <v>46213</v>
      </c>
      <c r="C962" t="s">
        <v>51</v>
      </c>
      <c r="D962" t="s">
        <v>52</v>
      </c>
      <c r="E962" t="s">
        <v>28</v>
      </c>
      <c r="F962" t="s">
        <v>33</v>
      </c>
      <c r="G962">
        <v>251</v>
      </c>
      <c r="H962">
        <v>77</v>
      </c>
      <c r="I962">
        <v>55</v>
      </c>
      <c r="J962">
        <v>273</v>
      </c>
      <c r="K962" s="3">
        <v>27.19</v>
      </c>
      <c r="L962" s="3">
        <v>7422.87</v>
      </c>
      <c r="M962" t="s">
        <v>49</v>
      </c>
    </row>
    <row r="963" spans="1:13">
      <c r="A963" t="s">
        <v>1032</v>
      </c>
      <c r="B963" s="2">
        <v>46214</v>
      </c>
      <c r="C963" t="s">
        <v>20</v>
      </c>
      <c r="D963" t="s">
        <v>21</v>
      </c>
      <c r="E963" t="s">
        <v>22</v>
      </c>
      <c r="F963" t="s">
        <v>23</v>
      </c>
      <c r="G963">
        <v>421</v>
      </c>
      <c r="H963">
        <v>9</v>
      </c>
      <c r="I963">
        <v>199</v>
      </c>
      <c r="J963">
        <v>231</v>
      </c>
      <c r="K963" s="3">
        <v>61.74</v>
      </c>
      <c r="L963" s="3">
        <v>14261.94</v>
      </c>
      <c r="M963" t="s">
        <v>49</v>
      </c>
    </row>
    <row r="964" spans="1:13">
      <c r="A964" t="s">
        <v>1033</v>
      </c>
      <c r="B964" s="2">
        <v>46282</v>
      </c>
      <c r="C964" t="s">
        <v>55</v>
      </c>
      <c r="D964" t="s">
        <v>56</v>
      </c>
      <c r="E964" t="s">
        <v>28</v>
      </c>
      <c r="F964" t="s">
        <v>29</v>
      </c>
      <c r="G964">
        <v>32</v>
      </c>
      <c r="H964">
        <v>123</v>
      </c>
      <c r="I964">
        <v>128</v>
      </c>
      <c r="J964">
        <v>27</v>
      </c>
      <c r="K964" s="3">
        <v>172.89</v>
      </c>
      <c r="L964" s="3">
        <v>4668.03</v>
      </c>
      <c r="M964" t="s">
        <v>18</v>
      </c>
    </row>
    <row r="965" spans="1:13">
      <c r="A965" t="s">
        <v>1034</v>
      </c>
      <c r="B965" s="2">
        <v>46291</v>
      </c>
      <c r="C965" t="s">
        <v>124</v>
      </c>
      <c r="D965" t="s">
        <v>125</v>
      </c>
      <c r="E965" t="s">
        <v>22</v>
      </c>
      <c r="F965" t="s">
        <v>23</v>
      </c>
      <c r="G965">
        <v>178</v>
      </c>
      <c r="H965">
        <v>83</v>
      </c>
      <c r="I965">
        <v>36</v>
      </c>
      <c r="J965">
        <v>225</v>
      </c>
      <c r="K965" s="3">
        <v>160.59</v>
      </c>
      <c r="L965" s="3">
        <v>36132.75</v>
      </c>
      <c r="M965" t="s">
        <v>49</v>
      </c>
    </row>
    <row r="966" spans="1:13">
      <c r="A966" t="s">
        <v>1035</v>
      </c>
      <c r="B966" s="2">
        <v>46090</v>
      </c>
      <c r="C966" t="s">
        <v>59</v>
      </c>
      <c r="D966" t="s">
        <v>60</v>
      </c>
      <c r="E966" t="s">
        <v>16</v>
      </c>
      <c r="F966" t="s">
        <v>17</v>
      </c>
      <c r="G966">
        <v>125</v>
      </c>
      <c r="H966">
        <v>9</v>
      </c>
      <c r="I966">
        <v>117</v>
      </c>
      <c r="J966">
        <v>17</v>
      </c>
      <c r="K966" s="3">
        <v>62.91</v>
      </c>
      <c r="L966" s="3">
        <v>1069.47</v>
      </c>
      <c r="M966" t="s">
        <v>24</v>
      </c>
    </row>
    <row r="967" spans="1:13">
      <c r="A967" t="s">
        <v>1036</v>
      </c>
      <c r="B967" s="2">
        <v>46025</v>
      </c>
      <c r="C967" t="s">
        <v>20</v>
      </c>
      <c r="D967" t="s">
        <v>21</v>
      </c>
      <c r="E967" t="s">
        <v>22</v>
      </c>
      <c r="F967" t="s">
        <v>23</v>
      </c>
      <c r="G967">
        <v>179</v>
      </c>
      <c r="H967">
        <v>11</v>
      </c>
      <c r="I967">
        <v>175</v>
      </c>
      <c r="J967">
        <v>15</v>
      </c>
      <c r="K967" s="3">
        <v>68.44</v>
      </c>
      <c r="L967" s="3">
        <v>1026.5999999999999</v>
      </c>
      <c r="M967" t="s">
        <v>49</v>
      </c>
    </row>
    <row r="968" spans="1:13">
      <c r="A968" t="s">
        <v>1037</v>
      </c>
      <c r="B968" s="2">
        <v>46262</v>
      </c>
      <c r="C968" t="s">
        <v>66</v>
      </c>
      <c r="D968" t="s">
        <v>67</v>
      </c>
      <c r="E968" t="s">
        <v>16</v>
      </c>
      <c r="F968" t="s">
        <v>68</v>
      </c>
      <c r="G968">
        <v>475</v>
      </c>
      <c r="H968">
        <v>11</v>
      </c>
      <c r="I968">
        <v>26</v>
      </c>
      <c r="J968">
        <v>460</v>
      </c>
      <c r="K968" s="3">
        <v>63.77</v>
      </c>
      <c r="L968" s="3">
        <v>29334.2</v>
      </c>
      <c r="M968" t="s">
        <v>24</v>
      </c>
    </row>
    <row r="969" spans="1:13">
      <c r="A969" t="s">
        <v>1038</v>
      </c>
      <c r="B969" s="2">
        <v>46034</v>
      </c>
      <c r="C969" t="s">
        <v>71</v>
      </c>
      <c r="D969" t="s">
        <v>72</v>
      </c>
      <c r="E969" t="s">
        <v>22</v>
      </c>
      <c r="F969" t="s">
        <v>68</v>
      </c>
      <c r="G969">
        <v>315</v>
      </c>
      <c r="H969">
        <v>79</v>
      </c>
      <c r="I969">
        <v>163</v>
      </c>
      <c r="J969">
        <v>231</v>
      </c>
      <c r="K969" s="3">
        <v>11.96</v>
      </c>
      <c r="L969" s="3">
        <v>2762.76</v>
      </c>
      <c r="M969" t="s">
        <v>18</v>
      </c>
    </row>
    <row r="970" spans="1:13">
      <c r="A970" t="s">
        <v>1039</v>
      </c>
      <c r="B970" s="2">
        <v>46121</v>
      </c>
      <c r="C970" t="s">
        <v>99</v>
      </c>
      <c r="D970" t="s">
        <v>100</v>
      </c>
      <c r="E970" t="s">
        <v>43</v>
      </c>
      <c r="F970" t="s">
        <v>44</v>
      </c>
      <c r="G970">
        <v>166</v>
      </c>
      <c r="H970">
        <v>70</v>
      </c>
      <c r="I970">
        <v>136</v>
      </c>
      <c r="J970">
        <v>100</v>
      </c>
      <c r="K970" s="3">
        <v>242.9</v>
      </c>
      <c r="L970" s="3">
        <v>24290</v>
      </c>
      <c r="M970" t="s">
        <v>18</v>
      </c>
    </row>
    <row r="971" spans="1:13">
      <c r="A971" t="s">
        <v>1040</v>
      </c>
      <c r="B971" s="2">
        <v>46162</v>
      </c>
      <c r="C971" t="s">
        <v>20</v>
      </c>
      <c r="D971" t="s">
        <v>21</v>
      </c>
      <c r="E971" t="s">
        <v>22</v>
      </c>
      <c r="F971" t="s">
        <v>23</v>
      </c>
      <c r="G971">
        <v>96</v>
      </c>
      <c r="H971">
        <v>40</v>
      </c>
      <c r="I971">
        <v>70</v>
      </c>
      <c r="J971">
        <v>66</v>
      </c>
      <c r="K971" s="3">
        <v>60.83</v>
      </c>
      <c r="L971" s="3">
        <v>4014.78</v>
      </c>
      <c r="M971" t="s">
        <v>24</v>
      </c>
    </row>
    <row r="972" spans="1:13">
      <c r="A972" t="s">
        <v>1041</v>
      </c>
      <c r="B972" s="2">
        <v>46286</v>
      </c>
      <c r="C972" t="s">
        <v>47</v>
      </c>
      <c r="D972" t="s">
        <v>48</v>
      </c>
      <c r="E972" t="s">
        <v>43</v>
      </c>
      <c r="F972" t="s">
        <v>44</v>
      </c>
      <c r="G972">
        <v>72</v>
      </c>
      <c r="H972">
        <v>52</v>
      </c>
      <c r="I972">
        <v>69</v>
      </c>
      <c r="J972">
        <v>55</v>
      </c>
      <c r="K972" s="3">
        <v>162.25</v>
      </c>
      <c r="L972" s="3">
        <v>8923.75</v>
      </c>
      <c r="M972" t="s">
        <v>18</v>
      </c>
    </row>
    <row r="973" spans="1:13">
      <c r="A973" t="s">
        <v>1042</v>
      </c>
      <c r="B973" s="2">
        <v>46095</v>
      </c>
      <c r="C973" t="s">
        <v>26</v>
      </c>
      <c r="D973" t="s">
        <v>27</v>
      </c>
      <c r="E973" t="s">
        <v>28</v>
      </c>
      <c r="F973" t="s">
        <v>29</v>
      </c>
      <c r="G973">
        <v>380</v>
      </c>
      <c r="H973">
        <v>72</v>
      </c>
      <c r="I973">
        <v>146</v>
      </c>
      <c r="J973">
        <v>306</v>
      </c>
      <c r="K973" s="3">
        <v>114.98</v>
      </c>
      <c r="L973" s="3">
        <v>35183.879999999997</v>
      </c>
      <c r="M973" t="s">
        <v>49</v>
      </c>
    </row>
    <row r="974" spans="1:13">
      <c r="A974" t="s">
        <v>1043</v>
      </c>
      <c r="B974" s="2">
        <v>46196</v>
      </c>
      <c r="C974" t="s">
        <v>71</v>
      </c>
      <c r="D974" t="s">
        <v>72</v>
      </c>
      <c r="E974" t="s">
        <v>22</v>
      </c>
      <c r="F974" t="s">
        <v>68</v>
      </c>
      <c r="G974">
        <v>296</v>
      </c>
      <c r="H974">
        <v>113</v>
      </c>
      <c r="I974">
        <v>12</v>
      </c>
      <c r="J974">
        <v>397</v>
      </c>
      <c r="K974" s="3">
        <v>10.59</v>
      </c>
      <c r="L974" s="3">
        <v>4204.2299999999996</v>
      </c>
      <c r="M974" t="s">
        <v>18</v>
      </c>
    </row>
    <row r="975" spans="1:13">
      <c r="A975" t="s">
        <v>1044</v>
      </c>
      <c r="B975" s="2">
        <v>46077</v>
      </c>
      <c r="C975" t="s">
        <v>86</v>
      </c>
      <c r="D975" t="s">
        <v>87</v>
      </c>
      <c r="E975" t="s">
        <v>43</v>
      </c>
      <c r="F975" t="s">
        <v>44</v>
      </c>
      <c r="G975">
        <v>216</v>
      </c>
      <c r="H975">
        <v>13</v>
      </c>
      <c r="I975">
        <v>22</v>
      </c>
      <c r="J975">
        <v>207</v>
      </c>
      <c r="K975" s="3">
        <v>9.81</v>
      </c>
      <c r="L975" s="3">
        <v>2030.67</v>
      </c>
      <c r="M975" t="s">
        <v>49</v>
      </c>
    </row>
    <row r="976" spans="1:13">
      <c r="A976" t="s">
        <v>1045</v>
      </c>
      <c r="B976" s="2">
        <v>46251</v>
      </c>
      <c r="C976" t="s">
        <v>80</v>
      </c>
      <c r="D976" t="s">
        <v>81</v>
      </c>
      <c r="E976" t="s">
        <v>28</v>
      </c>
      <c r="F976" t="s">
        <v>33</v>
      </c>
      <c r="G976">
        <v>335</v>
      </c>
      <c r="H976">
        <v>91</v>
      </c>
      <c r="I976">
        <v>79</v>
      </c>
      <c r="J976">
        <v>347</v>
      </c>
      <c r="K976" s="3">
        <v>4.67</v>
      </c>
      <c r="L976" s="3">
        <v>1620.49</v>
      </c>
      <c r="M976" t="s">
        <v>49</v>
      </c>
    </row>
    <row r="977" spans="1:13">
      <c r="A977" t="s">
        <v>1046</v>
      </c>
      <c r="B977" s="2">
        <v>46063</v>
      </c>
      <c r="C977" t="s">
        <v>47</v>
      </c>
      <c r="D977" t="s">
        <v>48</v>
      </c>
      <c r="E977" t="s">
        <v>43</v>
      </c>
      <c r="F977" t="s">
        <v>44</v>
      </c>
      <c r="G977">
        <v>492</v>
      </c>
      <c r="H977">
        <v>119</v>
      </c>
      <c r="I977">
        <v>145</v>
      </c>
      <c r="J977">
        <v>466</v>
      </c>
      <c r="K977" s="3">
        <v>156.43</v>
      </c>
      <c r="L977" s="3">
        <v>72896.38</v>
      </c>
      <c r="M977" t="s">
        <v>24</v>
      </c>
    </row>
    <row r="978" spans="1:13">
      <c r="A978" t="s">
        <v>1047</v>
      </c>
      <c r="B978" s="2">
        <v>46072</v>
      </c>
      <c r="C978" t="s">
        <v>55</v>
      </c>
      <c r="D978" t="s">
        <v>56</v>
      </c>
      <c r="E978" t="s">
        <v>28</v>
      </c>
      <c r="F978" t="s">
        <v>29</v>
      </c>
      <c r="G978">
        <v>253</v>
      </c>
      <c r="H978">
        <v>79</v>
      </c>
      <c r="I978">
        <v>175</v>
      </c>
      <c r="J978">
        <v>157</v>
      </c>
      <c r="K978" s="3">
        <v>187.25</v>
      </c>
      <c r="L978" s="3">
        <v>29398.25</v>
      </c>
      <c r="M978" t="s">
        <v>18</v>
      </c>
    </row>
    <row r="979" spans="1:13">
      <c r="A979" t="s">
        <v>1048</v>
      </c>
      <c r="B979" s="2">
        <v>46141</v>
      </c>
      <c r="C979" t="s">
        <v>124</v>
      </c>
      <c r="D979" t="s">
        <v>125</v>
      </c>
      <c r="E979" t="s">
        <v>22</v>
      </c>
      <c r="F979" t="s">
        <v>23</v>
      </c>
      <c r="G979">
        <v>134</v>
      </c>
      <c r="H979">
        <v>36</v>
      </c>
      <c r="I979">
        <v>157</v>
      </c>
      <c r="J979">
        <v>13</v>
      </c>
      <c r="K979" s="3">
        <v>147.99</v>
      </c>
      <c r="L979" s="3">
        <v>1923.87</v>
      </c>
      <c r="M979" t="s">
        <v>18</v>
      </c>
    </row>
    <row r="980" spans="1:13">
      <c r="A980" t="s">
        <v>1049</v>
      </c>
      <c r="B980" s="2">
        <v>46116</v>
      </c>
      <c r="C980" t="s">
        <v>136</v>
      </c>
      <c r="D980" t="s">
        <v>137</v>
      </c>
      <c r="E980" t="s">
        <v>37</v>
      </c>
      <c r="F980" t="s">
        <v>38</v>
      </c>
      <c r="G980">
        <v>378</v>
      </c>
      <c r="H980">
        <v>170</v>
      </c>
      <c r="I980">
        <v>84</v>
      </c>
      <c r="J980">
        <v>464</v>
      </c>
      <c r="K980" s="3">
        <v>10.83</v>
      </c>
      <c r="L980" s="3">
        <v>5025.12</v>
      </c>
      <c r="M980" t="s">
        <v>18</v>
      </c>
    </row>
    <row r="981" spans="1:13">
      <c r="A981" t="s">
        <v>1050</v>
      </c>
      <c r="B981" s="2">
        <v>46272</v>
      </c>
      <c r="C981" t="s">
        <v>55</v>
      </c>
      <c r="D981" t="s">
        <v>56</v>
      </c>
      <c r="E981" t="s">
        <v>28</v>
      </c>
      <c r="F981" t="s">
        <v>29</v>
      </c>
      <c r="G981">
        <v>35</v>
      </c>
      <c r="H981">
        <v>16</v>
      </c>
      <c r="I981">
        <v>30</v>
      </c>
      <c r="J981">
        <v>21</v>
      </c>
      <c r="K981" s="3">
        <v>171.68</v>
      </c>
      <c r="L981" s="3">
        <v>3605.28</v>
      </c>
      <c r="M981" t="s">
        <v>18</v>
      </c>
    </row>
    <row r="982" spans="1:13">
      <c r="A982" t="s">
        <v>1051</v>
      </c>
      <c r="B982" s="2">
        <v>46110</v>
      </c>
      <c r="C982" t="s">
        <v>55</v>
      </c>
      <c r="D982" t="s">
        <v>56</v>
      </c>
      <c r="E982" t="s">
        <v>28</v>
      </c>
      <c r="F982" t="s">
        <v>29</v>
      </c>
      <c r="G982">
        <v>164</v>
      </c>
      <c r="H982">
        <v>89</v>
      </c>
      <c r="I982">
        <v>154</v>
      </c>
      <c r="J982">
        <v>99</v>
      </c>
      <c r="K982" s="3">
        <v>185.2</v>
      </c>
      <c r="L982" s="3">
        <v>18334.8</v>
      </c>
      <c r="M982" t="s">
        <v>24</v>
      </c>
    </row>
    <row r="983" spans="1:13">
      <c r="A983" t="s">
        <v>1052</v>
      </c>
      <c r="B983" s="2">
        <v>46230</v>
      </c>
      <c r="C983" t="s">
        <v>20</v>
      </c>
      <c r="D983" t="s">
        <v>21</v>
      </c>
      <c r="E983" t="s">
        <v>22</v>
      </c>
      <c r="F983" t="s">
        <v>23</v>
      </c>
      <c r="G983">
        <v>438</v>
      </c>
      <c r="H983">
        <v>27</v>
      </c>
      <c r="I983">
        <v>83</v>
      </c>
      <c r="J983">
        <v>382</v>
      </c>
      <c r="K983" s="3">
        <v>65.41</v>
      </c>
      <c r="L983" s="3">
        <v>24986.62</v>
      </c>
      <c r="M983" t="s">
        <v>49</v>
      </c>
    </row>
    <row r="984" spans="1:13">
      <c r="A984" t="s">
        <v>1053</v>
      </c>
      <c r="B984" s="2">
        <v>46295</v>
      </c>
      <c r="C984" t="s">
        <v>71</v>
      </c>
      <c r="D984" t="s">
        <v>72</v>
      </c>
      <c r="E984" t="s">
        <v>22</v>
      </c>
      <c r="F984" t="s">
        <v>68</v>
      </c>
      <c r="G984">
        <v>256</v>
      </c>
      <c r="H984">
        <v>102</v>
      </c>
      <c r="I984">
        <v>151</v>
      </c>
      <c r="J984">
        <v>207</v>
      </c>
      <c r="K984" s="3">
        <v>11.1</v>
      </c>
      <c r="L984" s="3">
        <v>2297.6999999999998</v>
      </c>
      <c r="M984" t="s">
        <v>24</v>
      </c>
    </row>
    <row r="985" spans="1:13">
      <c r="A985" t="s">
        <v>1054</v>
      </c>
      <c r="B985" s="2">
        <v>46104</v>
      </c>
      <c r="C985" t="s">
        <v>51</v>
      </c>
      <c r="D985" t="s">
        <v>52</v>
      </c>
      <c r="E985" t="s">
        <v>28</v>
      </c>
      <c r="F985" t="s">
        <v>33</v>
      </c>
      <c r="G985">
        <v>266</v>
      </c>
      <c r="H985">
        <v>98</v>
      </c>
      <c r="I985">
        <v>16</v>
      </c>
      <c r="J985">
        <v>348</v>
      </c>
      <c r="K985" s="3">
        <v>26.39</v>
      </c>
      <c r="L985" s="3">
        <v>9183.7199999999993</v>
      </c>
      <c r="M985" t="s">
        <v>24</v>
      </c>
    </row>
    <row r="986" spans="1:13">
      <c r="A986" t="s">
        <v>1055</v>
      </c>
      <c r="B986" s="2">
        <v>46243</v>
      </c>
      <c r="C986" t="s">
        <v>35</v>
      </c>
      <c r="D986" t="s">
        <v>36</v>
      </c>
      <c r="E986" t="s">
        <v>37</v>
      </c>
      <c r="F986" t="s">
        <v>38</v>
      </c>
      <c r="G986">
        <v>421</v>
      </c>
      <c r="H986">
        <v>111</v>
      </c>
      <c r="I986">
        <v>145</v>
      </c>
      <c r="J986">
        <v>387</v>
      </c>
      <c r="K986" s="3">
        <v>237.66</v>
      </c>
      <c r="L986" s="3">
        <v>91974.42</v>
      </c>
      <c r="M986" t="s">
        <v>24</v>
      </c>
    </row>
    <row r="987" spans="1:13">
      <c r="A987" t="s">
        <v>1056</v>
      </c>
      <c r="B987" s="2">
        <v>46111</v>
      </c>
      <c r="C987" t="s">
        <v>51</v>
      </c>
      <c r="D987" t="s">
        <v>52</v>
      </c>
      <c r="E987" t="s">
        <v>28</v>
      </c>
      <c r="F987" t="s">
        <v>33</v>
      </c>
      <c r="G987">
        <v>359</v>
      </c>
      <c r="H987">
        <v>171</v>
      </c>
      <c r="I987">
        <v>19</v>
      </c>
      <c r="J987">
        <v>511</v>
      </c>
      <c r="K987" s="3">
        <v>28.12</v>
      </c>
      <c r="L987" s="3">
        <v>14369.32</v>
      </c>
      <c r="M987" t="s">
        <v>24</v>
      </c>
    </row>
    <row r="988" spans="1:13">
      <c r="A988" t="s">
        <v>1057</v>
      </c>
      <c r="B988" s="2">
        <v>46272</v>
      </c>
      <c r="C988" t="s">
        <v>35</v>
      </c>
      <c r="D988" t="s">
        <v>36</v>
      </c>
      <c r="E988" t="s">
        <v>37</v>
      </c>
      <c r="F988" t="s">
        <v>38</v>
      </c>
      <c r="G988">
        <v>78</v>
      </c>
      <c r="H988">
        <v>151</v>
      </c>
      <c r="I988">
        <v>152</v>
      </c>
      <c r="J988">
        <v>77</v>
      </c>
      <c r="K988" s="3">
        <v>225.86</v>
      </c>
      <c r="L988" s="3">
        <v>17391.22</v>
      </c>
      <c r="M988" t="s">
        <v>24</v>
      </c>
    </row>
    <row r="989" spans="1:13">
      <c r="A989" t="s">
        <v>1058</v>
      </c>
      <c r="B989" s="2">
        <v>46250</v>
      </c>
      <c r="C989" t="s">
        <v>20</v>
      </c>
      <c r="D989" t="s">
        <v>21</v>
      </c>
      <c r="E989" t="s">
        <v>22</v>
      </c>
      <c r="F989" t="s">
        <v>23</v>
      </c>
      <c r="G989">
        <v>110</v>
      </c>
      <c r="H989">
        <v>78</v>
      </c>
      <c r="I989">
        <v>103</v>
      </c>
      <c r="J989">
        <v>85</v>
      </c>
      <c r="K989" s="3">
        <v>60.37</v>
      </c>
      <c r="L989" s="3">
        <v>5131.45</v>
      </c>
      <c r="M989" t="s">
        <v>49</v>
      </c>
    </row>
    <row r="990" spans="1:13">
      <c r="A990" t="s">
        <v>1059</v>
      </c>
      <c r="B990" s="2">
        <v>46217</v>
      </c>
      <c r="C990" t="s">
        <v>80</v>
      </c>
      <c r="D990" t="s">
        <v>81</v>
      </c>
      <c r="E990" t="s">
        <v>28</v>
      </c>
      <c r="F990" t="s">
        <v>33</v>
      </c>
      <c r="G990">
        <v>187</v>
      </c>
      <c r="H990">
        <v>126</v>
      </c>
      <c r="I990">
        <v>165</v>
      </c>
      <c r="J990">
        <v>148</v>
      </c>
      <c r="K990" s="3">
        <v>4.92</v>
      </c>
      <c r="L990" s="3">
        <v>728.16</v>
      </c>
      <c r="M990" t="s">
        <v>49</v>
      </c>
    </row>
    <row r="991" spans="1:13">
      <c r="A991" t="s">
        <v>1060</v>
      </c>
      <c r="B991" s="2">
        <v>46094</v>
      </c>
      <c r="C991" t="s">
        <v>99</v>
      </c>
      <c r="D991" t="s">
        <v>100</v>
      </c>
      <c r="E991" t="s">
        <v>43</v>
      </c>
      <c r="F991" t="s">
        <v>44</v>
      </c>
      <c r="G991">
        <v>474</v>
      </c>
      <c r="H991">
        <v>148</v>
      </c>
      <c r="I991">
        <v>193</v>
      </c>
      <c r="J991">
        <v>429</v>
      </c>
      <c r="K991" s="3">
        <v>255.58</v>
      </c>
      <c r="L991" s="3">
        <v>109643.82</v>
      </c>
      <c r="M991" t="s">
        <v>49</v>
      </c>
    </row>
    <row r="992" spans="1:13">
      <c r="A992" t="s">
        <v>1061</v>
      </c>
      <c r="B992" s="2">
        <v>46099</v>
      </c>
      <c r="C992" t="s">
        <v>77</v>
      </c>
      <c r="D992" t="s">
        <v>78</v>
      </c>
      <c r="E992" t="s">
        <v>16</v>
      </c>
      <c r="F992" t="s">
        <v>17</v>
      </c>
      <c r="G992">
        <v>251</v>
      </c>
      <c r="H992">
        <v>136</v>
      </c>
      <c r="I992">
        <v>74</v>
      </c>
      <c r="J992">
        <v>313</v>
      </c>
      <c r="K992" s="3">
        <v>203.36</v>
      </c>
      <c r="L992" s="3">
        <v>63651.68</v>
      </c>
      <c r="M992" t="s">
        <v>24</v>
      </c>
    </row>
    <row r="993" spans="1:13">
      <c r="A993" t="s">
        <v>1062</v>
      </c>
      <c r="B993" s="2">
        <v>46123</v>
      </c>
      <c r="C993" t="s">
        <v>55</v>
      </c>
      <c r="D993" t="s">
        <v>56</v>
      </c>
      <c r="E993" t="s">
        <v>28</v>
      </c>
      <c r="F993" t="s">
        <v>29</v>
      </c>
      <c r="G993">
        <v>125</v>
      </c>
      <c r="H993">
        <v>174</v>
      </c>
      <c r="I993">
        <v>81</v>
      </c>
      <c r="J993">
        <v>218</v>
      </c>
      <c r="K993" s="3">
        <v>177.15</v>
      </c>
      <c r="L993" s="3">
        <v>38618.699999999997</v>
      </c>
      <c r="M993" t="s">
        <v>24</v>
      </c>
    </row>
    <row r="994" spans="1:13">
      <c r="A994" t="s">
        <v>1063</v>
      </c>
      <c r="B994" s="2">
        <v>46245</v>
      </c>
      <c r="C994" t="s">
        <v>71</v>
      </c>
      <c r="D994" t="s">
        <v>72</v>
      </c>
      <c r="E994" t="s">
        <v>22</v>
      </c>
      <c r="F994" t="s">
        <v>68</v>
      </c>
      <c r="G994">
        <v>387</v>
      </c>
      <c r="H994">
        <v>88</v>
      </c>
      <c r="I994">
        <v>22</v>
      </c>
      <c r="J994">
        <v>453</v>
      </c>
      <c r="K994" s="3">
        <v>11.4</v>
      </c>
      <c r="L994" s="3">
        <v>5164.2</v>
      </c>
      <c r="M994" t="s">
        <v>24</v>
      </c>
    </row>
    <row r="995" spans="1:13">
      <c r="A995" t="s">
        <v>1064</v>
      </c>
      <c r="B995" s="2">
        <v>46229</v>
      </c>
      <c r="C995" t="s">
        <v>59</v>
      </c>
      <c r="D995" t="s">
        <v>60</v>
      </c>
      <c r="E995" t="s">
        <v>16</v>
      </c>
      <c r="F995" t="s">
        <v>17</v>
      </c>
      <c r="G995">
        <v>453</v>
      </c>
      <c r="H995">
        <v>32</v>
      </c>
      <c r="I995">
        <v>218</v>
      </c>
      <c r="J995">
        <v>267</v>
      </c>
      <c r="K995" s="3">
        <v>61.95</v>
      </c>
      <c r="L995" s="3">
        <v>16540.650000000001</v>
      </c>
      <c r="M995" t="s">
        <v>18</v>
      </c>
    </row>
    <row r="996" spans="1:13">
      <c r="A996" t="s">
        <v>1065</v>
      </c>
      <c r="B996" s="2">
        <v>46050</v>
      </c>
      <c r="C996" t="s">
        <v>47</v>
      </c>
      <c r="D996" t="s">
        <v>48</v>
      </c>
      <c r="E996" t="s">
        <v>43</v>
      </c>
      <c r="F996" t="s">
        <v>44</v>
      </c>
      <c r="G996">
        <v>20</v>
      </c>
      <c r="H996">
        <v>180</v>
      </c>
      <c r="I996">
        <v>143</v>
      </c>
      <c r="J996">
        <v>57</v>
      </c>
      <c r="K996" s="3">
        <v>174.76</v>
      </c>
      <c r="L996" s="3">
        <v>9961.32</v>
      </c>
      <c r="M996" t="s">
        <v>18</v>
      </c>
    </row>
    <row r="997" spans="1:13">
      <c r="A997" t="s">
        <v>1066</v>
      </c>
      <c r="B997" s="2">
        <v>46167</v>
      </c>
      <c r="C997" t="s">
        <v>20</v>
      </c>
      <c r="D997" t="s">
        <v>21</v>
      </c>
      <c r="E997" t="s">
        <v>22</v>
      </c>
      <c r="F997" t="s">
        <v>23</v>
      </c>
      <c r="G997">
        <v>463</v>
      </c>
      <c r="H997">
        <v>7</v>
      </c>
      <c r="I997">
        <v>60</v>
      </c>
      <c r="J997">
        <v>410</v>
      </c>
      <c r="K997" s="3">
        <v>64.12</v>
      </c>
      <c r="L997" s="3">
        <v>26289.200000000001</v>
      </c>
      <c r="M997" t="s">
        <v>24</v>
      </c>
    </row>
    <row r="998" spans="1:13">
      <c r="A998" t="s">
        <v>1067</v>
      </c>
      <c r="B998" s="2">
        <v>46185</v>
      </c>
      <c r="C998" t="s">
        <v>136</v>
      </c>
      <c r="D998" t="s">
        <v>137</v>
      </c>
      <c r="E998" t="s">
        <v>37</v>
      </c>
      <c r="F998" t="s">
        <v>38</v>
      </c>
      <c r="G998">
        <v>384</v>
      </c>
      <c r="H998">
        <v>97</v>
      </c>
      <c r="I998">
        <v>103</v>
      </c>
      <c r="J998">
        <v>378</v>
      </c>
      <c r="K998" s="3">
        <v>10.15</v>
      </c>
      <c r="L998" s="3">
        <v>3836.7</v>
      </c>
      <c r="M998" t="s">
        <v>24</v>
      </c>
    </row>
    <row r="999" spans="1:13">
      <c r="A999" t="s">
        <v>1068</v>
      </c>
      <c r="B999" s="2">
        <v>46111</v>
      </c>
      <c r="C999" t="s">
        <v>99</v>
      </c>
      <c r="D999" t="s">
        <v>100</v>
      </c>
      <c r="E999" t="s">
        <v>43</v>
      </c>
      <c r="F999" t="s">
        <v>44</v>
      </c>
      <c r="G999">
        <v>263</v>
      </c>
      <c r="H999">
        <v>35</v>
      </c>
      <c r="I999">
        <v>48</v>
      </c>
      <c r="J999">
        <v>250</v>
      </c>
      <c r="K999" s="3">
        <v>252.35</v>
      </c>
      <c r="L999" s="3">
        <v>63087.5</v>
      </c>
      <c r="M999" t="s">
        <v>18</v>
      </c>
    </row>
    <row r="1000" spans="1:13">
      <c r="A1000" t="s">
        <v>1069</v>
      </c>
      <c r="B1000" s="2">
        <v>46101</v>
      </c>
      <c r="C1000" t="s">
        <v>62</v>
      </c>
      <c r="D1000" t="s">
        <v>63</v>
      </c>
      <c r="E1000" t="s">
        <v>37</v>
      </c>
      <c r="F1000" t="s">
        <v>38</v>
      </c>
      <c r="G1000">
        <v>167</v>
      </c>
      <c r="H1000">
        <v>171</v>
      </c>
      <c r="I1000">
        <v>32</v>
      </c>
      <c r="J1000">
        <v>306</v>
      </c>
      <c r="K1000" s="3">
        <v>54.68</v>
      </c>
      <c r="L1000" s="3">
        <v>16732.080000000002</v>
      </c>
      <c r="M1000" t="s">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C9574-D29D-4580-8B56-B6BA0F3E8DA3}">
  <dimension ref="A1:L9"/>
  <sheetViews>
    <sheetView workbookViewId="0">
      <selection activeCell="B3" sqref="B3"/>
    </sheetView>
  </sheetViews>
  <sheetFormatPr defaultRowHeight="14.25"/>
  <cols>
    <col min="1" max="1" width="14.75" bestFit="1" customWidth="1"/>
    <col min="2" max="2" width="26.25" bestFit="1" customWidth="1"/>
    <col min="7" max="7" width="14.75" bestFit="1" customWidth="1"/>
    <col min="8" max="8" width="22.125" bestFit="1" customWidth="1"/>
    <col min="11" max="11" width="16.375" bestFit="1" customWidth="1"/>
    <col min="12" max="12" width="22.125" bestFit="1" customWidth="1"/>
  </cols>
  <sheetData>
    <row r="1" spans="1:12">
      <c r="A1" s="9" t="s">
        <v>1083</v>
      </c>
      <c r="B1" t="s">
        <v>1085</v>
      </c>
      <c r="K1" s="9" t="s">
        <v>1083</v>
      </c>
      <c r="L1" t="s">
        <v>1086</v>
      </c>
    </row>
    <row r="2" spans="1:12">
      <c r="A2" s="10" t="s">
        <v>16</v>
      </c>
      <c r="B2" s="3">
        <v>6654869.4799999986</v>
      </c>
      <c r="K2" s="10" t="s">
        <v>72</v>
      </c>
      <c r="L2" s="11">
        <v>7202</v>
      </c>
    </row>
    <row r="3" spans="1:12">
      <c r="A3" s="10" t="s">
        <v>28</v>
      </c>
      <c r="B3" s="3">
        <v>5833370.1600000039</v>
      </c>
      <c r="G3" s="9" t="s">
        <v>1083</v>
      </c>
      <c r="H3" t="s">
        <v>1086</v>
      </c>
      <c r="K3" s="10" t="s">
        <v>52</v>
      </c>
      <c r="L3" s="11">
        <v>6729</v>
      </c>
    </row>
    <row r="4" spans="1:12">
      <c r="A4" s="10" t="s">
        <v>43</v>
      </c>
      <c r="B4" s="3">
        <v>5728669.3900000006</v>
      </c>
      <c r="G4" s="10" t="s">
        <v>28</v>
      </c>
      <c r="H4" s="11">
        <v>28880</v>
      </c>
      <c r="K4" s="10" t="s">
        <v>56</v>
      </c>
      <c r="L4" s="11">
        <v>6550</v>
      </c>
    </row>
    <row r="5" spans="1:12">
      <c r="A5" s="10" t="s">
        <v>22</v>
      </c>
      <c r="B5" s="3">
        <v>4366088.32</v>
      </c>
      <c r="G5" s="10" t="s">
        <v>16</v>
      </c>
      <c r="H5" s="11">
        <v>21205</v>
      </c>
      <c r="K5" s="10" t="s">
        <v>48</v>
      </c>
      <c r="L5" s="11">
        <v>5918</v>
      </c>
    </row>
    <row r="6" spans="1:12">
      <c r="A6" s="10" t="s">
        <v>37</v>
      </c>
      <c r="B6" s="3">
        <v>3759969.8400000008</v>
      </c>
      <c r="G6" s="10" t="s">
        <v>22</v>
      </c>
      <c r="H6" s="11">
        <v>20156</v>
      </c>
      <c r="K6" s="10" t="s">
        <v>78</v>
      </c>
      <c r="L6" s="11">
        <v>5813</v>
      </c>
    </row>
    <row r="7" spans="1:12">
      <c r="A7" s="10" t="s">
        <v>1084</v>
      </c>
      <c r="B7" s="3">
        <v>26342967.190000005</v>
      </c>
      <c r="G7" s="10" t="s">
        <v>43</v>
      </c>
      <c r="H7" s="11">
        <v>18063</v>
      </c>
      <c r="K7" s="10" t="s">
        <v>1084</v>
      </c>
      <c r="L7" s="11">
        <v>32212</v>
      </c>
    </row>
    <row r="8" spans="1:12">
      <c r="G8" s="10" t="s">
        <v>37</v>
      </c>
      <c r="H8" s="11">
        <v>13223</v>
      </c>
    </row>
    <row r="9" spans="1:12">
      <c r="G9" s="10" t="s">
        <v>1084</v>
      </c>
      <c r="H9" s="11">
        <v>101527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4921-6111-4396-923A-ED0D124D1432}">
  <dimension ref="A1:L14"/>
  <sheetViews>
    <sheetView showGridLines="0" tabSelected="1" workbookViewId="0">
      <selection activeCell="P24" sqref="P24"/>
    </sheetView>
  </sheetViews>
  <sheetFormatPr defaultRowHeight="14.25"/>
  <sheetData>
    <row r="1" spans="1:12" ht="14.25" customHeight="1">
      <c r="A1" s="12" t="s">
        <v>1087</v>
      </c>
      <c r="B1" s="12"/>
      <c r="C1" s="12"/>
      <c r="D1" s="12"/>
      <c r="E1" s="12"/>
      <c r="F1" s="12"/>
      <c r="G1" s="12"/>
      <c r="H1" s="12"/>
      <c r="I1" s="12"/>
      <c r="J1" s="12"/>
      <c r="K1" s="12"/>
      <c r="L1" s="12"/>
    </row>
    <row r="2" spans="1:12" ht="14.25" customHeight="1">
      <c r="A2" s="12"/>
      <c r="B2" s="12"/>
      <c r="C2" s="12"/>
      <c r="D2" s="12"/>
      <c r="E2" s="12"/>
      <c r="F2" s="12"/>
      <c r="G2" s="12"/>
      <c r="H2" s="12"/>
      <c r="I2" s="12"/>
      <c r="J2" s="12"/>
      <c r="K2" s="12"/>
      <c r="L2" s="12"/>
    </row>
    <row r="3" spans="1:12" ht="15" thickBot="1"/>
    <row r="4" spans="1:12" ht="15.75">
      <c r="A4" s="15" t="s">
        <v>1088</v>
      </c>
      <c r="B4" s="13"/>
      <c r="C4" s="14"/>
      <c r="D4" s="15" t="s">
        <v>1089</v>
      </c>
      <c r="E4" s="22"/>
      <c r="F4" s="22"/>
      <c r="G4" s="15" t="s">
        <v>1090</v>
      </c>
      <c r="H4" s="22"/>
      <c r="I4" s="23"/>
      <c r="J4" s="15" t="s">
        <v>1091</v>
      </c>
      <c r="K4" s="22"/>
      <c r="L4" s="23"/>
    </row>
    <row r="5" spans="1:12">
      <c r="A5" s="16">
        <f>SUM(WarehouseRawData[Inventory_Value_RM])</f>
        <v>26342967.190000035</v>
      </c>
      <c r="B5" s="17"/>
      <c r="C5" s="18"/>
      <c r="D5" s="24">
        <f>SUM(WarehouseRawData[Quantity_Issued])</f>
        <v>101527</v>
      </c>
      <c r="E5" s="25"/>
      <c r="F5" s="25"/>
      <c r="G5" s="24">
        <f>SUM(WarehouseRawData[Closing_Stock])</f>
        <v>251734</v>
      </c>
      <c r="H5" s="25"/>
      <c r="I5" s="28"/>
      <c r="J5" s="24">
        <f>ROWS(WarehouseRawData[Transaction_ID])</f>
        <v>999</v>
      </c>
      <c r="K5" s="25"/>
      <c r="L5" s="28"/>
    </row>
    <row r="6" spans="1:12" ht="15" thickBot="1">
      <c r="A6" s="19"/>
      <c r="B6" s="20"/>
      <c r="C6" s="21"/>
      <c r="D6" s="26"/>
      <c r="E6" s="27"/>
      <c r="F6" s="27"/>
      <c r="G6" s="26"/>
      <c r="H6" s="27"/>
      <c r="I6" s="29"/>
      <c r="J6" s="26"/>
      <c r="K6" s="27"/>
      <c r="L6" s="29"/>
    </row>
    <row r="13" spans="1:12">
      <c r="I13" s="1"/>
      <c r="J13" s="1"/>
    </row>
    <row r="14" spans="1:12">
      <c r="J14" s="1"/>
    </row>
  </sheetData>
  <mergeCells count="9">
    <mergeCell ref="A4:C4"/>
    <mergeCell ref="A5:C6"/>
    <mergeCell ref="D4:F4"/>
    <mergeCell ref="D5:F6"/>
    <mergeCell ref="A1:L2"/>
    <mergeCell ref="G4:I4"/>
    <mergeCell ref="G5:I6"/>
    <mergeCell ref="J4:L4"/>
    <mergeCell ref="J5:L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Project_Brief</vt:lpstr>
      <vt:lpstr>Raw_Data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2026-10-04T20:09:35Z</dcterms:created>
  <dcterms:modified xsi:type="dcterms:W3CDTF">2026-10-04T20:09:35Z</dcterms:modified>
</cp:coreProperties>
</file>